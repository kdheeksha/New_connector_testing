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fore logic" sheetId="1" state="visible" r:id="rId1"/>
    <sheet name="After logic"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0.00%;0.00%"/>
  </numFmts>
  <fonts count="6">
    <font>
      <name val="Calibri"/>
      <family val="2"/>
      <color theme="1"/>
      <sz val="11"/>
      <scheme val="minor"/>
    </font>
    <font>
      <b val="1"/>
      <color rgb="0018181B"/>
      <sz val="13"/>
    </font>
    <font>
      <i val="1"/>
      <color rgb="0052525B"/>
      <sz val="9"/>
    </font>
    <font>
      <b val="1"/>
      <color rgb="0027272A"/>
      <sz val="11"/>
    </font>
    <font>
      <b val="1"/>
      <color rgb="00FFFFFF"/>
      <sz val="10"/>
    </font>
    <font>
      <color rgb="0052525B"/>
      <sz val="9"/>
    </font>
  </fonts>
  <fills count="4">
    <fill>
      <patternFill/>
    </fill>
    <fill>
      <patternFill patternType="gray125"/>
    </fill>
    <fill>
      <patternFill patternType="solid">
        <fgColor rgb="00EFEFF1"/>
      </patternFill>
    </fill>
    <fill>
      <patternFill patternType="solid">
        <fgColor rgb="003F3F46"/>
      </patternFill>
    </fill>
  </fills>
  <borders count="2">
    <border>
      <left/>
      <right/>
      <top/>
      <bottom/>
      <diagonal/>
    </border>
    <border>
      <left style="thin">
        <color rgb="00D4D4D8"/>
      </left>
      <right style="thin">
        <color rgb="00D4D4D8"/>
      </right>
      <top style="thin">
        <color rgb="00D4D4D8"/>
      </top>
      <bottom style="thin">
        <color rgb="00D4D4D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4" fillId="3" borderId="0" pivotButton="0" quotePrefix="0" xfId="0"/>
    <xf numFmtId="0" fontId="4" fillId="3" borderId="0" applyAlignment="1" pivotButton="0" quotePrefix="0" xfId="0">
      <alignment horizontal="center"/>
    </xf>
    <xf numFmtId="0" fontId="0" fillId="0" borderId="1" pivotButton="0" quotePrefix="0" xfId="0"/>
    <xf numFmtId="3" fontId="0" fillId="0" borderId="1" pivotButton="0" quotePrefix="0" xfId="0"/>
    <xf numFmtId="4" fontId="0" fillId="0" borderId="1" pivotButton="0" quotePrefix="0" xfId="0"/>
    <xf numFmtId="164" fontId="0" fillId="0" borderId="1" pivotButton="0" quotePrefix="0" xfId="0"/>
    <xf numFmtId="0" fontId="1"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3">
    <dxf>
      <fill>
        <patternFill patternType="solid">
          <fgColor rgb="00FEE4E2"/>
        </patternFill>
      </fill>
    </dxf>
    <dxf>
      <fill>
        <patternFill patternType="solid">
          <fgColor rgb="00FEF0C7"/>
        </patternFill>
      </fill>
    </dxf>
    <dxf>
      <fill>
        <patternFill patternType="solid">
          <fgColor rgb="00D1FA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3"/>
  <sheetViews>
    <sheetView workbookViewId="0">
      <pane xSplit="1" topLeftCell="B1" activePane="topRight" state="frozen"/>
      <selection pane="topRight"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BEFORE — revenue by acquisition type</t>
        </is>
      </c>
    </row>
    <row r="2">
      <c r="A2" s="2" t="inlineStr">
        <is>
          <t>Current production logic. A customer's whole lifetime sits in the bucket they were ACQUIRED in.</t>
        </is>
      </c>
    </row>
    <row r="4">
      <c r="A4" s="3" t="inlineStr">
        <is>
          <t>LIFETIME — all customers</t>
        </is>
      </c>
    </row>
    <row r="5">
      <c r="A5" s="4" t="inlineStr">
        <is>
          <t>Cohorts Dashboard (ours)</t>
        </is>
      </c>
    </row>
    <row r="6">
      <c r="A6" s="5" t="inlineStr">
        <is>
          <t>Acquisition Month</t>
        </is>
      </c>
      <c r="B6" s="5" t="inlineStr">
        <is>
          <t>Customers</t>
        </is>
      </c>
      <c r="C6" s="6" t="inlineStr">
        <is>
          <t>M0</t>
        </is>
      </c>
      <c r="D6" s="6" t="inlineStr">
        <is>
          <t>M1</t>
        </is>
      </c>
      <c r="E6" s="6" t="inlineStr">
        <is>
          <t>M2</t>
        </is>
      </c>
      <c r="F6" s="6" t="inlineStr">
        <is>
          <t>M3</t>
        </is>
      </c>
      <c r="G6" s="6" t="inlineStr">
        <is>
          <t>M4</t>
        </is>
      </c>
      <c r="H6" s="6" t="inlineStr">
        <is>
          <t>M5</t>
        </is>
      </c>
      <c r="I6" s="6" t="inlineStr">
        <is>
          <t>M6</t>
        </is>
      </c>
      <c r="J6" s="6" t="inlineStr">
        <is>
          <t>M7</t>
        </is>
      </c>
      <c r="K6" s="6" t="inlineStr">
        <is>
          <t>M8</t>
        </is>
      </c>
      <c r="L6" s="6" t="inlineStr">
        <is>
          <t>M9</t>
        </is>
      </c>
      <c r="M6" s="6" t="inlineStr">
        <is>
          <t>M10</t>
        </is>
      </c>
    </row>
    <row r="7">
      <c r="A7" s="7" t="inlineStr">
        <is>
          <t>2025-09</t>
        </is>
      </c>
      <c r="B7" s="8" t="n">
        <v>7920</v>
      </c>
      <c r="C7" s="9" t="n">
        <v>93.89</v>
      </c>
      <c r="D7" s="9" t="n">
        <v>110.31</v>
      </c>
      <c r="E7" s="9" t="n">
        <v>135.46</v>
      </c>
      <c r="F7" s="9" t="n">
        <v>152.37</v>
      </c>
      <c r="G7" s="9" t="n">
        <v>167.15</v>
      </c>
      <c r="H7" s="9" t="n">
        <v>180.38</v>
      </c>
      <c r="I7" s="9" t="n">
        <v>196.81</v>
      </c>
      <c r="J7" s="9" t="n">
        <v>209.82</v>
      </c>
      <c r="K7" s="9" t="n">
        <v>225.48</v>
      </c>
      <c r="L7" s="9" t="n">
        <v>235.6</v>
      </c>
      <c r="M7" s="9" t="n">
        <v>245.79</v>
      </c>
    </row>
    <row r="8">
      <c r="A8" s="7" t="inlineStr">
        <is>
          <t>2025-10</t>
        </is>
      </c>
      <c r="B8" s="8" t="n">
        <v>7704</v>
      </c>
      <c r="C8" s="9" t="n">
        <v>94.87</v>
      </c>
      <c r="D8" s="9" t="n">
        <v>117.71</v>
      </c>
      <c r="E8" s="9" t="n">
        <v>135.22</v>
      </c>
      <c r="F8" s="9" t="n">
        <v>152.94</v>
      </c>
      <c r="G8" s="9" t="n">
        <v>167.35</v>
      </c>
      <c r="H8" s="9" t="n">
        <v>183.12</v>
      </c>
      <c r="I8" s="9" t="n">
        <v>197.53</v>
      </c>
      <c r="J8" s="9" t="n">
        <v>212.61</v>
      </c>
      <c r="K8" s="9" t="n">
        <v>222.7</v>
      </c>
      <c r="L8" s="9" t="n">
        <v>234.59</v>
      </c>
      <c r="M8" s="9" t="n">
        <v>244.44</v>
      </c>
    </row>
    <row r="9">
      <c r="A9" s="7" t="inlineStr">
        <is>
          <t>2025-11</t>
        </is>
      </c>
      <c r="B9" s="8" t="n">
        <v>11977</v>
      </c>
      <c r="C9" s="9" t="n">
        <v>100.17</v>
      </c>
      <c r="D9" s="9" t="n">
        <v>116.27</v>
      </c>
      <c r="E9" s="9" t="n">
        <v>134.55</v>
      </c>
      <c r="F9" s="9" t="n">
        <v>153.43</v>
      </c>
      <c r="G9" s="9" t="n">
        <v>170.69</v>
      </c>
      <c r="H9" s="9" t="n">
        <v>184.17</v>
      </c>
      <c r="I9" s="9" t="n">
        <v>202.58</v>
      </c>
      <c r="J9" s="9" t="n">
        <v>212.91</v>
      </c>
      <c r="K9" s="9" t="n">
        <v>225.06</v>
      </c>
      <c r="L9" s="9" t="n">
        <v>236.43</v>
      </c>
      <c r="M9" s="9" t="n">
        <v>246.32</v>
      </c>
    </row>
    <row r="10">
      <c r="A10" s="7" t="inlineStr">
        <is>
          <t>2025-12</t>
        </is>
      </c>
      <c r="B10" s="8" t="n">
        <v>9094</v>
      </c>
      <c r="C10" s="9" t="n">
        <v>97.87</v>
      </c>
      <c r="D10" s="9" t="n">
        <v>113.23</v>
      </c>
      <c r="E10" s="9" t="n">
        <v>128.4</v>
      </c>
      <c r="F10" s="9" t="n">
        <v>147.92</v>
      </c>
      <c r="G10" s="9" t="n">
        <v>161.55</v>
      </c>
      <c r="H10" s="9" t="n">
        <v>177.74</v>
      </c>
      <c r="I10" s="9" t="n">
        <v>188.41</v>
      </c>
      <c r="J10" s="9" t="n">
        <v>199.32</v>
      </c>
      <c r="K10" s="9" t="n">
        <v>209.58</v>
      </c>
      <c r="L10" s="9" t="n">
        <v>219.41</v>
      </c>
      <c r="M10" s="9" t="n"/>
    </row>
    <row r="11">
      <c r="A11" s="7" t="inlineStr">
        <is>
          <t>2026-01</t>
        </is>
      </c>
      <c r="B11" s="8" t="n">
        <v>12292</v>
      </c>
      <c r="C11" s="9" t="n">
        <v>93.06</v>
      </c>
      <c r="D11" s="9" t="n">
        <v>107.75</v>
      </c>
      <c r="E11" s="9" t="n">
        <v>128.58</v>
      </c>
      <c r="F11" s="9" t="n">
        <v>149.19</v>
      </c>
      <c r="G11" s="9" t="n">
        <v>168.23</v>
      </c>
      <c r="H11" s="9" t="n">
        <v>178.73</v>
      </c>
      <c r="I11" s="9" t="n">
        <v>192.61</v>
      </c>
      <c r="J11" s="9" t="n">
        <v>202.79</v>
      </c>
      <c r="K11" s="9" t="n">
        <v>212.6</v>
      </c>
      <c r="L11" s="9" t="n"/>
      <c r="M11" s="9" t="n"/>
    </row>
    <row r="12">
      <c r="A12" s="7" t="inlineStr">
        <is>
          <t>2026-02</t>
        </is>
      </c>
      <c r="B12" s="8" t="n">
        <v>11886</v>
      </c>
      <c r="C12" s="9" t="n">
        <v>95.69</v>
      </c>
      <c r="D12" s="9" t="n">
        <v>115.88</v>
      </c>
      <c r="E12" s="9" t="n">
        <v>135.94</v>
      </c>
      <c r="F12" s="9" t="n">
        <v>159.76</v>
      </c>
      <c r="G12" s="9" t="n">
        <v>173.05</v>
      </c>
      <c r="H12" s="9" t="n">
        <v>185.67</v>
      </c>
      <c r="I12" s="9" t="n">
        <v>199.59</v>
      </c>
      <c r="J12" s="9" t="n">
        <v>210.21</v>
      </c>
      <c r="K12" s="9" t="n"/>
      <c r="L12" s="9" t="n"/>
      <c r="M12" s="9" t="n"/>
    </row>
    <row r="13">
      <c r="A13" s="7" t="inlineStr">
        <is>
          <t>2026-03</t>
        </is>
      </c>
      <c r="B13" s="8" t="n">
        <v>11220</v>
      </c>
      <c r="C13" s="9" t="n">
        <v>97.45</v>
      </c>
      <c r="D13" s="9" t="n">
        <v>118.33</v>
      </c>
      <c r="E13" s="9" t="n">
        <v>144.25</v>
      </c>
      <c r="F13" s="9" t="n">
        <v>161.88</v>
      </c>
      <c r="G13" s="9" t="n">
        <v>176.79</v>
      </c>
      <c r="H13" s="9" t="n">
        <v>190.12</v>
      </c>
      <c r="I13" s="9" t="n">
        <v>203.17</v>
      </c>
      <c r="J13" s="9" t="n"/>
      <c r="K13" s="9" t="n"/>
      <c r="L13" s="9" t="n"/>
      <c r="M13" s="9" t="n"/>
    </row>
    <row r="14">
      <c r="A14" s="7" t="inlineStr">
        <is>
          <t>2026-04</t>
        </is>
      </c>
      <c r="B14" s="8" t="n">
        <v>11165</v>
      </c>
      <c r="C14" s="9" t="n">
        <v>97.90000000000001</v>
      </c>
      <c r="D14" s="9" t="n">
        <v>124.63</v>
      </c>
      <c r="E14" s="9" t="n">
        <v>143.07</v>
      </c>
      <c r="F14" s="9" t="n">
        <v>163.05</v>
      </c>
      <c r="G14" s="9" t="n">
        <v>178.08</v>
      </c>
      <c r="H14" s="9" t="n">
        <v>190.01</v>
      </c>
      <c r="I14" s="9" t="n"/>
      <c r="J14" s="9" t="n"/>
      <c r="K14" s="9" t="n"/>
      <c r="L14" s="9" t="n"/>
      <c r="M14" s="9" t="n"/>
    </row>
    <row r="15">
      <c r="A15" s="7" t="inlineStr">
        <is>
          <t>2026-05</t>
        </is>
      </c>
      <c r="B15" s="8" t="n">
        <v>15938</v>
      </c>
      <c r="C15" s="9" t="n">
        <v>98.72</v>
      </c>
      <c r="D15" s="9" t="n">
        <v>115.81</v>
      </c>
      <c r="E15" s="9" t="n">
        <v>135.64</v>
      </c>
      <c r="F15" s="9" t="n">
        <v>156.31</v>
      </c>
      <c r="G15" s="9" t="n">
        <v>169.49</v>
      </c>
      <c r="H15" s="9" t="n"/>
      <c r="I15" s="9" t="n"/>
      <c r="J15" s="9" t="n"/>
      <c r="K15" s="9" t="n"/>
      <c r="L15" s="9" t="n"/>
      <c r="M15" s="9" t="n"/>
    </row>
    <row r="16">
      <c r="A16" s="7" t="inlineStr">
        <is>
          <t>2026-06</t>
        </is>
      </c>
      <c r="B16" s="8" t="n">
        <v>8985</v>
      </c>
      <c r="C16" s="9" t="n">
        <v>98.64</v>
      </c>
      <c r="D16" s="9" t="n">
        <v>118.09</v>
      </c>
      <c r="E16" s="9" t="n">
        <v>137.9</v>
      </c>
      <c r="F16" s="9" t="n">
        <v>155.76</v>
      </c>
      <c r="G16" s="9" t="n"/>
      <c r="H16" s="9" t="n"/>
      <c r="I16" s="9" t="n"/>
      <c r="J16" s="9" t="n"/>
      <c r="K16" s="9" t="n"/>
      <c r="L16" s="9" t="n"/>
      <c r="M16" s="9" t="n"/>
    </row>
    <row r="17">
      <c r="A17" s="7" t="inlineStr">
        <is>
          <t>2026-07</t>
        </is>
      </c>
      <c r="B17" s="8" t="n">
        <v>10850</v>
      </c>
      <c r="C17" s="9" t="n">
        <v>100.63</v>
      </c>
      <c r="D17" s="9" t="n">
        <v>120.01</v>
      </c>
      <c r="E17" s="9" t="n">
        <v>139.16</v>
      </c>
      <c r="F17" s="9" t="n"/>
      <c r="G17" s="9" t="n"/>
      <c r="H17" s="9" t="n"/>
      <c r="I17" s="9" t="n"/>
      <c r="J17" s="9" t="n"/>
      <c r="K17" s="9" t="n"/>
      <c r="L17" s="9" t="n"/>
      <c r="M17" s="9" t="n"/>
    </row>
    <row r="19">
      <c r="A19" s="4" t="inlineStr">
        <is>
          <t>Equip LTV analysis (client)</t>
        </is>
      </c>
    </row>
    <row r="20">
      <c r="A20" s="5" t="inlineStr">
        <is>
          <t>Acquisition Month</t>
        </is>
      </c>
      <c r="B20" s="5" t="inlineStr">
        <is>
          <t>Customers</t>
        </is>
      </c>
      <c r="C20" s="6" t="inlineStr">
        <is>
          <t>M0</t>
        </is>
      </c>
      <c r="D20" s="6" t="inlineStr">
        <is>
          <t>M1</t>
        </is>
      </c>
      <c r="E20" s="6" t="inlineStr">
        <is>
          <t>M2</t>
        </is>
      </c>
      <c r="F20" s="6" t="inlineStr">
        <is>
          <t>M3</t>
        </is>
      </c>
      <c r="G20" s="6" t="inlineStr">
        <is>
          <t>M4</t>
        </is>
      </c>
      <c r="H20" s="6" t="inlineStr">
        <is>
          <t>M5</t>
        </is>
      </c>
      <c r="I20" s="6" t="inlineStr">
        <is>
          <t>M6</t>
        </is>
      </c>
      <c r="J20" s="6" t="inlineStr">
        <is>
          <t>M7</t>
        </is>
      </c>
      <c r="K20" s="6" t="inlineStr">
        <is>
          <t>M8</t>
        </is>
      </c>
      <c r="L20" s="6" t="inlineStr">
        <is>
          <t>M9</t>
        </is>
      </c>
      <c r="M20" s="6" t="inlineStr">
        <is>
          <t>M10</t>
        </is>
      </c>
    </row>
    <row r="21">
      <c r="A21" s="7" t="inlineStr">
        <is>
          <t>2025-09</t>
        </is>
      </c>
      <c r="B21" s="8" t="n">
        <v>7945</v>
      </c>
      <c r="C21" s="9" t="n">
        <v>92.88980239</v>
      </c>
      <c r="D21" s="9" t="n">
        <v>109.2581913</v>
      </c>
      <c r="E21" s="9" t="n">
        <v>134.4189805</v>
      </c>
      <c r="F21" s="9" t="n">
        <v>151.228331</v>
      </c>
      <c r="G21" s="9" t="n">
        <v>165.9129616</v>
      </c>
      <c r="H21" s="9" t="n">
        <v>179.0687212</v>
      </c>
      <c r="I21" s="9" t="n">
        <v>195.4255909</v>
      </c>
      <c r="J21" s="9" t="n">
        <v>208.4516224</v>
      </c>
      <c r="K21" s="9" t="n">
        <v>224.0902354</v>
      </c>
      <c r="L21" s="9" t="n">
        <v>234.4451643</v>
      </c>
      <c r="M21" s="9" t="n">
        <v>244.7189037</v>
      </c>
    </row>
    <row r="22">
      <c r="A22" s="7" t="inlineStr">
        <is>
          <t>2025-10</t>
        </is>
      </c>
      <c r="B22" s="8" t="n">
        <v>7757</v>
      </c>
      <c r="C22" s="9" t="n">
        <v>93.58246358</v>
      </c>
      <c r="D22" s="9" t="n">
        <v>116.2646371</v>
      </c>
      <c r="E22" s="9" t="n">
        <v>133.857169</v>
      </c>
      <c r="F22" s="9" t="n">
        <v>151.5381604</v>
      </c>
      <c r="G22" s="9" t="n">
        <v>165.8278484</v>
      </c>
      <c r="H22" s="9" t="n">
        <v>181.5058399</v>
      </c>
      <c r="I22" s="9" t="n">
        <v>195.741877</v>
      </c>
      <c r="J22" s="9" t="n">
        <v>210.6028478</v>
      </c>
      <c r="K22" s="9" t="n">
        <v>220.576157</v>
      </c>
      <c r="L22" s="9" t="n">
        <v>232.4624223</v>
      </c>
      <c r="M22" s="9" t="n"/>
    </row>
    <row r="23">
      <c r="A23" s="7" t="inlineStr">
        <is>
          <t>2025-11</t>
        </is>
      </c>
      <c r="B23" s="8" t="n">
        <v>11950</v>
      </c>
      <c r="C23" s="9" t="n">
        <v>99.84738912</v>
      </c>
      <c r="D23" s="9" t="n">
        <v>115.9622243</v>
      </c>
      <c r="E23" s="9" t="n">
        <v>134.197231</v>
      </c>
      <c r="F23" s="9" t="n">
        <v>153.2141515</v>
      </c>
      <c r="G23" s="9" t="n">
        <v>170.469036</v>
      </c>
      <c r="H23" s="9" t="n">
        <v>183.8624059</v>
      </c>
      <c r="I23" s="9" t="n">
        <v>202.3255531</v>
      </c>
      <c r="J23" s="9" t="n">
        <v>212.7203707</v>
      </c>
      <c r="K23" s="9" t="n">
        <v>224.8946527</v>
      </c>
      <c r="L23" s="9" t="n"/>
      <c r="M23" s="9" t="n"/>
    </row>
    <row r="24">
      <c r="A24" s="7" t="inlineStr">
        <is>
          <t>2025-12</t>
        </is>
      </c>
      <c r="B24" s="8" t="n">
        <v>9056</v>
      </c>
      <c r="C24" s="9" t="n">
        <v>97.8732023</v>
      </c>
      <c r="D24" s="9" t="n">
        <v>113.3810479</v>
      </c>
      <c r="E24" s="9" t="n">
        <v>128.7157906</v>
      </c>
      <c r="F24" s="9" t="n">
        <v>148.3401424</v>
      </c>
      <c r="G24" s="9" t="n">
        <v>162.0841409</v>
      </c>
      <c r="H24" s="9" t="n">
        <v>178.4198333</v>
      </c>
      <c r="I24" s="9" t="n">
        <v>189.097712</v>
      </c>
      <c r="J24" s="9" t="n">
        <v>200.1473609</v>
      </c>
      <c r="K24" s="9" t="n"/>
      <c r="L24" s="9" t="n"/>
      <c r="M24" s="9" t="n"/>
    </row>
    <row r="25">
      <c r="A25" s="7" t="inlineStr">
        <is>
          <t>2026-01</t>
        </is>
      </c>
      <c r="B25" s="8" t="n">
        <v>12255</v>
      </c>
      <c r="C25" s="9" t="n">
        <v>92.98071889000001</v>
      </c>
      <c r="D25" s="9" t="n">
        <v>107.8431677</v>
      </c>
      <c r="E25" s="9" t="n">
        <v>128.9879111</v>
      </c>
      <c r="F25" s="9" t="n">
        <v>149.8797813</v>
      </c>
      <c r="G25" s="9" t="n">
        <v>169.15702</v>
      </c>
      <c r="H25" s="9" t="n">
        <v>180.0422285</v>
      </c>
      <c r="I25" s="9" t="n">
        <v>194.0367311</v>
      </c>
      <c r="J25" s="9" t="n"/>
      <c r="K25" s="9" t="n"/>
      <c r="L25" s="9" t="n"/>
      <c r="M25" s="9" t="n"/>
    </row>
    <row r="26">
      <c r="A26" s="7" t="inlineStr">
        <is>
          <t>2026-02</t>
        </is>
      </c>
      <c r="B26" s="8" t="n">
        <v>11963</v>
      </c>
      <c r="C26" s="9" t="n">
        <v>95.057784</v>
      </c>
      <c r="D26" s="9" t="n">
        <v>115.203714</v>
      </c>
      <c r="E26" s="9" t="n">
        <v>135.327188</v>
      </c>
      <c r="F26" s="9" t="n">
        <v>159.0452428</v>
      </c>
      <c r="G26" s="9" t="n">
        <v>172.4782329</v>
      </c>
      <c r="H26" s="9" t="n">
        <v>185.4053348</v>
      </c>
      <c r="I26" s="9" t="n"/>
      <c r="J26" s="9" t="n"/>
      <c r="K26" s="9" t="n"/>
      <c r="L26" s="9" t="n"/>
      <c r="M26" s="9" t="n"/>
    </row>
    <row r="27">
      <c r="A27" s="7" t="inlineStr">
        <is>
          <t>2026-03</t>
        </is>
      </c>
      <c r="B27" s="8" t="n">
        <v>11207</v>
      </c>
      <c r="C27" s="9" t="n">
        <v>98.34834746</v>
      </c>
      <c r="D27" s="9" t="n">
        <v>120.0648907</v>
      </c>
      <c r="E27" s="9" t="n">
        <v>146.8181056</v>
      </c>
      <c r="F27" s="9" t="n">
        <v>166.4525761</v>
      </c>
      <c r="G27" s="9" t="n">
        <v>182.7494566</v>
      </c>
      <c r="H27" s="9" t="n"/>
      <c r="I27" s="9" t="n"/>
      <c r="J27" s="9" t="n"/>
      <c r="K27" s="9" t="n"/>
      <c r="L27" s="9" t="n"/>
      <c r="M27" s="9" t="n"/>
    </row>
    <row r="28">
      <c r="A28" s="7" t="inlineStr">
        <is>
          <t>2026-04</t>
        </is>
      </c>
      <c r="B28" s="8" t="n">
        <v>11145</v>
      </c>
      <c r="C28" s="9" t="n">
        <v>98.4922297</v>
      </c>
      <c r="D28" s="9" t="n">
        <v>125.6861328</v>
      </c>
      <c r="E28" s="9" t="n">
        <v>143.6859282</v>
      </c>
      <c r="F28" s="9" t="n">
        <v>163.8259417</v>
      </c>
      <c r="G28" s="9" t="n"/>
      <c r="H28" s="9" t="n"/>
      <c r="I28" s="9" t="n"/>
      <c r="J28" s="9" t="n"/>
      <c r="K28" s="9" t="n"/>
      <c r="L28" s="9" t="n"/>
      <c r="M28" s="9" t="n"/>
    </row>
    <row r="29">
      <c r="A29" s="7" t="inlineStr">
        <is>
          <t>2026-05</t>
        </is>
      </c>
      <c r="B29" s="8" t="n">
        <v>15934</v>
      </c>
      <c r="C29" s="9" t="n">
        <v>99.61277143</v>
      </c>
      <c r="D29" s="9" t="n">
        <v>117.2355065</v>
      </c>
      <c r="E29" s="9" t="n">
        <v>139.2069336</v>
      </c>
      <c r="F29" s="9" t="n"/>
      <c r="G29" s="9" t="n"/>
      <c r="H29" s="9" t="n"/>
      <c r="I29" s="9" t="n"/>
      <c r="J29" s="9" t="n"/>
      <c r="K29" s="9" t="n"/>
      <c r="L29" s="9" t="n"/>
      <c r="M29" s="9" t="n"/>
    </row>
    <row r="30">
      <c r="A30" s="7" t="inlineStr">
        <is>
          <t>2026-06</t>
        </is>
      </c>
      <c r="B30" s="8" t="n">
        <v>8978</v>
      </c>
      <c r="C30" s="9" t="n">
        <v>99.66080530000001</v>
      </c>
      <c r="D30" s="9" t="n">
        <v>120.0241412</v>
      </c>
      <c r="E30" s="9" t="n"/>
      <c r="F30" s="9" t="n"/>
      <c r="G30" s="9" t="n"/>
      <c r="H30" s="9" t="n"/>
      <c r="I30" s="9" t="n"/>
      <c r="J30" s="9" t="n"/>
      <c r="K30" s="9" t="n"/>
      <c r="L30" s="9" t="n"/>
      <c r="M30" s="9" t="n"/>
    </row>
    <row r="31">
      <c r="A31" s="7" t="inlineStr">
        <is>
          <t>2026-07</t>
        </is>
      </c>
      <c r="B31" s="8" t="n">
        <v>10832</v>
      </c>
      <c r="C31" s="9" t="n">
        <v>101.9177206</v>
      </c>
      <c r="D31" s="9" t="n"/>
      <c r="E31" s="9" t="n"/>
      <c r="F31" s="9" t="n"/>
      <c r="G31" s="9" t="n"/>
      <c r="H31" s="9" t="n"/>
      <c r="I31" s="9" t="n"/>
      <c r="J31" s="9" t="n"/>
      <c r="K31" s="9" t="n"/>
      <c r="L31" s="9" t="n"/>
      <c r="M31" s="9" t="n"/>
    </row>
    <row r="33">
      <c r="A33" s="4" t="inlineStr">
        <is>
          <t>% Diff  =  (ours − client) ÷ client      [green ≤2%  ·  amber 2–5%  ·  red &gt;5%]</t>
        </is>
      </c>
    </row>
    <row r="34">
      <c r="A34" s="5" t="inlineStr">
        <is>
          <t>Acquisition Month</t>
        </is>
      </c>
      <c r="B34" s="5" t="inlineStr">
        <is>
          <t>Customers</t>
        </is>
      </c>
      <c r="C34" s="6" t="inlineStr">
        <is>
          <t>M0</t>
        </is>
      </c>
      <c r="D34" s="6" t="inlineStr">
        <is>
          <t>M1</t>
        </is>
      </c>
      <c r="E34" s="6" t="inlineStr">
        <is>
          <t>M2</t>
        </is>
      </c>
      <c r="F34" s="6" t="inlineStr">
        <is>
          <t>M3</t>
        </is>
      </c>
      <c r="G34" s="6" t="inlineStr">
        <is>
          <t>M4</t>
        </is>
      </c>
      <c r="H34" s="6" t="inlineStr">
        <is>
          <t>M5</t>
        </is>
      </c>
      <c r="I34" s="6" t="inlineStr">
        <is>
          <t>M6</t>
        </is>
      </c>
      <c r="J34" s="6" t="inlineStr">
        <is>
          <t>M7</t>
        </is>
      </c>
      <c r="K34" s="6" t="inlineStr">
        <is>
          <t>M8</t>
        </is>
      </c>
      <c r="L34" s="6" t="inlineStr">
        <is>
          <t>M9</t>
        </is>
      </c>
      <c r="M34" s="6" t="inlineStr">
        <is>
          <t>M10</t>
        </is>
      </c>
    </row>
    <row r="35">
      <c r="A35" s="7" t="inlineStr">
        <is>
          <t>2025-09</t>
        </is>
      </c>
      <c r="B35" s="10">
        <f>IFERROR((B7-B21)/B21,"")</f>
        <v/>
      </c>
      <c r="C35" s="10">
        <f>IFERROR((C7-C21)/C21,"")</f>
        <v/>
      </c>
      <c r="D35" s="10">
        <f>IFERROR((D7-D21)/D21,"")</f>
        <v/>
      </c>
      <c r="E35" s="10">
        <f>IFERROR((E7-E21)/E21,"")</f>
        <v/>
      </c>
      <c r="F35" s="10">
        <f>IFERROR((F7-F21)/F21,"")</f>
        <v/>
      </c>
      <c r="G35" s="10">
        <f>IFERROR((G7-G21)/G21,"")</f>
        <v/>
      </c>
      <c r="H35" s="10">
        <f>IFERROR((H7-H21)/H21,"")</f>
        <v/>
      </c>
      <c r="I35" s="10">
        <f>IFERROR((I7-I21)/I21,"")</f>
        <v/>
      </c>
      <c r="J35" s="10">
        <f>IFERROR((J7-J21)/J21,"")</f>
        <v/>
      </c>
      <c r="K35" s="10">
        <f>IFERROR((K7-K21)/K21,"")</f>
        <v/>
      </c>
      <c r="L35" s="10">
        <f>IFERROR((L7-L21)/L21,"")</f>
        <v/>
      </c>
      <c r="M35" s="10">
        <f>IFERROR((M7-M21)/M21,"")</f>
        <v/>
      </c>
    </row>
    <row r="36">
      <c r="A36" s="7" t="inlineStr">
        <is>
          <t>2025-10</t>
        </is>
      </c>
      <c r="B36" s="10">
        <f>IFERROR((B8-B22)/B22,"")</f>
        <v/>
      </c>
      <c r="C36" s="10">
        <f>IFERROR((C8-C22)/C22,"")</f>
        <v/>
      </c>
      <c r="D36" s="10">
        <f>IFERROR((D8-D22)/D22,"")</f>
        <v/>
      </c>
      <c r="E36" s="10">
        <f>IFERROR((E8-E22)/E22,"")</f>
        <v/>
      </c>
      <c r="F36" s="10">
        <f>IFERROR((F8-F22)/F22,"")</f>
        <v/>
      </c>
      <c r="G36" s="10">
        <f>IFERROR((G8-G22)/G22,"")</f>
        <v/>
      </c>
      <c r="H36" s="10">
        <f>IFERROR((H8-H22)/H22,"")</f>
        <v/>
      </c>
      <c r="I36" s="10">
        <f>IFERROR((I8-I22)/I22,"")</f>
        <v/>
      </c>
      <c r="J36" s="10">
        <f>IFERROR((J8-J22)/J22,"")</f>
        <v/>
      </c>
      <c r="K36" s="10">
        <f>IFERROR((K8-K22)/K22,"")</f>
        <v/>
      </c>
      <c r="L36" s="10">
        <f>IFERROR((L8-L22)/L22,"")</f>
        <v/>
      </c>
      <c r="M36" s="10">
        <f>IFERROR((M8-M22)/M22,"")</f>
        <v/>
      </c>
    </row>
    <row r="37">
      <c r="A37" s="7" t="inlineStr">
        <is>
          <t>2025-11</t>
        </is>
      </c>
      <c r="B37" s="10">
        <f>IFERROR((B9-B23)/B23,"")</f>
        <v/>
      </c>
      <c r="C37" s="10">
        <f>IFERROR((C9-C23)/C23,"")</f>
        <v/>
      </c>
      <c r="D37" s="10">
        <f>IFERROR((D9-D23)/D23,"")</f>
        <v/>
      </c>
      <c r="E37" s="10">
        <f>IFERROR((E9-E23)/E23,"")</f>
        <v/>
      </c>
      <c r="F37" s="10">
        <f>IFERROR((F9-F23)/F23,"")</f>
        <v/>
      </c>
      <c r="G37" s="10">
        <f>IFERROR((G9-G23)/G23,"")</f>
        <v/>
      </c>
      <c r="H37" s="10">
        <f>IFERROR((H9-H23)/H23,"")</f>
        <v/>
      </c>
      <c r="I37" s="10">
        <f>IFERROR((I9-I23)/I23,"")</f>
        <v/>
      </c>
      <c r="J37" s="10">
        <f>IFERROR((J9-J23)/J23,"")</f>
        <v/>
      </c>
      <c r="K37" s="10">
        <f>IFERROR((K9-K23)/K23,"")</f>
        <v/>
      </c>
      <c r="L37" s="10">
        <f>IFERROR((L9-L23)/L23,"")</f>
        <v/>
      </c>
      <c r="M37" s="10">
        <f>IFERROR((M9-M23)/M23,"")</f>
        <v/>
      </c>
    </row>
    <row r="38">
      <c r="A38" s="7" t="inlineStr">
        <is>
          <t>2025-12</t>
        </is>
      </c>
      <c r="B38" s="10">
        <f>IFERROR((B10-B24)/B24,"")</f>
        <v/>
      </c>
      <c r="C38" s="10">
        <f>IFERROR((C10-C24)/C24,"")</f>
        <v/>
      </c>
      <c r="D38" s="10">
        <f>IFERROR((D10-D24)/D24,"")</f>
        <v/>
      </c>
      <c r="E38" s="10">
        <f>IFERROR((E10-E24)/E24,"")</f>
        <v/>
      </c>
      <c r="F38" s="10">
        <f>IFERROR((F10-F24)/F24,"")</f>
        <v/>
      </c>
      <c r="G38" s="10">
        <f>IFERROR((G10-G24)/G24,"")</f>
        <v/>
      </c>
      <c r="H38" s="10">
        <f>IFERROR((H10-H24)/H24,"")</f>
        <v/>
      </c>
      <c r="I38" s="10">
        <f>IFERROR((I10-I24)/I24,"")</f>
        <v/>
      </c>
      <c r="J38" s="10">
        <f>IFERROR((J10-J24)/J24,"")</f>
        <v/>
      </c>
      <c r="K38" s="10">
        <f>IFERROR((K10-K24)/K24,"")</f>
        <v/>
      </c>
      <c r="L38" s="10">
        <f>IFERROR((L10-L24)/L24,"")</f>
        <v/>
      </c>
      <c r="M38" s="10">
        <f>IFERROR((M10-M24)/M24,"")</f>
        <v/>
      </c>
    </row>
    <row r="39">
      <c r="A39" s="7" t="inlineStr">
        <is>
          <t>2026-01</t>
        </is>
      </c>
      <c r="B39" s="10">
        <f>IFERROR((B11-B25)/B25,"")</f>
        <v/>
      </c>
      <c r="C39" s="10">
        <f>IFERROR((C11-C25)/C25,"")</f>
        <v/>
      </c>
      <c r="D39" s="10">
        <f>IFERROR((D11-D25)/D25,"")</f>
        <v/>
      </c>
      <c r="E39" s="10">
        <f>IFERROR((E11-E25)/E25,"")</f>
        <v/>
      </c>
      <c r="F39" s="10">
        <f>IFERROR((F11-F25)/F25,"")</f>
        <v/>
      </c>
      <c r="G39" s="10">
        <f>IFERROR((G11-G25)/G25,"")</f>
        <v/>
      </c>
      <c r="H39" s="10">
        <f>IFERROR((H11-H25)/H25,"")</f>
        <v/>
      </c>
      <c r="I39" s="10">
        <f>IFERROR((I11-I25)/I25,"")</f>
        <v/>
      </c>
      <c r="J39" s="10">
        <f>IFERROR((J11-J25)/J25,"")</f>
        <v/>
      </c>
      <c r="K39" s="10">
        <f>IFERROR((K11-K25)/K25,"")</f>
        <v/>
      </c>
      <c r="L39" s="10">
        <f>IFERROR((L11-L25)/L25,"")</f>
        <v/>
      </c>
      <c r="M39" s="10">
        <f>IFERROR((M11-M25)/M25,"")</f>
        <v/>
      </c>
    </row>
    <row r="40">
      <c r="A40" s="7" t="inlineStr">
        <is>
          <t>2026-02</t>
        </is>
      </c>
      <c r="B40" s="10">
        <f>IFERROR((B12-B26)/B26,"")</f>
        <v/>
      </c>
      <c r="C40" s="10">
        <f>IFERROR((C12-C26)/C26,"")</f>
        <v/>
      </c>
      <c r="D40" s="10">
        <f>IFERROR((D12-D26)/D26,"")</f>
        <v/>
      </c>
      <c r="E40" s="10">
        <f>IFERROR((E12-E26)/E26,"")</f>
        <v/>
      </c>
      <c r="F40" s="10">
        <f>IFERROR((F12-F26)/F26,"")</f>
        <v/>
      </c>
      <c r="G40" s="10">
        <f>IFERROR((G12-G26)/G26,"")</f>
        <v/>
      </c>
      <c r="H40" s="10">
        <f>IFERROR((H12-H26)/H26,"")</f>
        <v/>
      </c>
      <c r="I40" s="10">
        <f>IFERROR((I12-I26)/I26,"")</f>
        <v/>
      </c>
      <c r="J40" s="10">
        <f>IFERROR((J12-J26)/J26,"")</f>
        <v/>
      </c>
      <c r="K40" s="10">
        <f>IFERROR((K12-K26)/K26,"")</f>
        <v/>
      </c>
      <c r="L40" s="10">
        <f>IFERROR((L12-L26)/L26,"")</f>
        <v/>
      </c>
      <c r="M40" s="10">
        <f>IFERROR((M12-M26)/M26,"")</f>
        <v/>
      </c>
    </row>
    <row r="41">
      <c r="A41" s="7" t="inlineStr">
        <is>
          <t>2026-03</t>
        </is>
      </c>
      <c r="B41" s="10">
        <f>IFERROR((B13-B27)/B27,"")</f>
        <v/>
      </c>
      <c r="C41" s="10">
        <f>IFERROR((C13-C27)/C27,"")</f>
        <v/>
      </c>
      <c r="D41" s="10">
        <f>IFERROR((D13-D27)/D27,"")</f>
        <v/>
      </c>
      <c r="E41" s="10">
        <f>IFERROR((E13-E27)/E27,"")</f>
        <v/>
      </c>
      <c r="F41" s="10">
        <f>IFERROR((F13-F27)/F27,"")</f>
        <v/>
      </c>
      <c r="G41" s="10">
        <f>IFERROR((G13-G27)/G27,"")</f>
        <v/>
      </c>
      <c r="H41" s="10">
        <f>IFERROR((H13-H27)/H27,"")</f>
        <v/>
      </c>
      <c r="I41" s="10">
        <f>IFERROR((I13-I27)/I27,"")</f>
        <v/>
      </c>
      <c r="J41" s="10">
        <f>IFERROR((J13-J27)/J27,"")</f>
        <v/>
      </c>
      <c r="K41" s="10">
        <f>IFERROR((K13-K27)/K27,"")</f>
        <v/>
      </c>
      <c r="L41" s="10">
        <f>IFERROR((L13-L27)/L27,"")</f>
        <v/>
      </c>
      <c r="M41" s="10">
        <f>IFERROR((M13-M27)/M27,"")</f>
        <v/>
      </c>
    </row>
    <row r="42">
      <c r="A42" s="7" t="inlineStr">
        <is>
          <t>2026-04</t>
        </is>
      </c>
      <c r="B42" s="10">
        <f>IFERROR((B14-B28)/B28,"")</f>
        <v/>
      </c>
      <c r="C42" s="10">
        <f>IFERROR((C14-C28)/C28,"")</f>
        <v/>
      </c>
      <c r="D42" s="10">
        <f>IFERROR((D14-D28)/D28,"")</f>
        <v/>
      </c>
      <c r="E42" s="10">
        <f>IFERROR((E14-E28)/E28,"")</f>
        <v/>
      </c>
      <c r="F42" s="10">
        <f>IFERROR((F14-F28)/F28,"")</f>
        <v/>
      </c>
      <c r="G42" s="10">
        <f>IFERROR((G14-G28)/G28,"")</f>
        <v/>
      </c>
      <c r="H42" s="10">
        <f>IFERROR((H14-H28)/H28,"")</f>
        <v/>
      </c>
      <c r="I42" s="10">
        <f>IFERROR((I14-I28)/I28,"")</f>
        <v/>
      </c>
      <c r="J42" s="10">
        <f>IFERROR((J14-J28)/J28,"")</f>
        <v/>
      </c>
      <c r="K42" s="10">
        <f>IFERROR((K14-K28)/K28,"")</f>
        <v/>
      </c>
      <c r="L42" s="10">
        <f>IFERROR((L14-L28)/L28,"")</f>
        <v/>
      </c>
      <c r="M42" s="10">
        <f>IFERROR((M14-M28)/M28,"")</f>
        <v/>
      </c>
    </row>
    <row r="43">
      <c r="A43" s="7" t="inlineStr">
        <is>
          <t>2026-05</t>
        </is>
      </c>
      <c r="B43" s="10">
        <f>IFERROR((B15-B29)/B29,"")</f>
        <v/>
      </c>
      <c r="C43" s="10">
        <f>IFERROR((C15-C29)/C29,"")</f>
        <v/>
      </c>
      <c r="D43" s="10">
        <f>IFERROR((D15-D29)/D29,"")</f>
        <v/>
      </c>
      <c r="E43" s="10">
        <f>IFERROR((E15-E29)/E29,"")</f>
        <v/>
      </c>
      <c r="F43" s="10">
        <f>IFERROR((F15-F29)/F29,"")</f>
        <v/>
      </c>
      <c r="G43" s="10">
        <f>IFERROR((G15-G29)/G29,"")</f>
        <v/>
      </c>
      <c r="H43" s="10">
        <f>IFERROR((H15-H29)/H29,"")</f>
        <v/>
      </c>
      <c r="I43" s="10">
        <f>IFERROR((I15-I29)/I29,"")</f>
        <v/>
      </c>
      <c r="J43" s="10">
        <f>IFERROR((J15-J29)/J29,"")</f>
        <v/>
      </c>
      <c r="K43" s="10">
        <f>IFERROR((K15-K29)/K29,"")</f>
        <v/>
      </c>
      <c r="L43" s="10">
        <f>IFERROR((L15-L29)/L29,"")</f>
        <v/>
      </c>
      <c r="M43" s="10">
        <f>IFERROR((M15-M29)/M29,"")</f>
        <v/>
      </c>
    </row>
    <row r="44">
      <c r="A44" s="7" t="inlineStr">
        <is>
          <t>2026-06</t>
        </is>
      </c>
      <c r="B44" s="10">
        <f>IFERROR((B16-B30)/B30,"")</f>
        <v/>
      </c>
      <c r="C44" s="10">
        <f>IFERROR((C16-C30)/C30,"")</f>
        <v/>
      </c>
      <c r="D44" s="10">
        <f>IFERROR((D16-D30)/D30,"")</f>
        <v/>
      </c>
      <c r="E44" s="10">
        <f>IFERROR((E16-E30)/E30,"")</f>
        <v/>
      </c>
      <c r="F44" s="10">
        <f>IFERROR((F16-F30)/F30,"")</f>
        <v/>
      </c>
      <c r="G44" s="10">
        <f>IFERROR((G16-G30)/G30,"")</f>
        <v/>
      </c>
      <c r="H44" s="10">
        <f>IFERROR((H16-H30)/H30,"")</f>
        <v/>
      </c>
      <c r="I44" s="10">
        <f>IFERROR((I16-I30)/I30,"")</f>
        <v/>
      </c>
      <c r="J44" s="10">
        <f>IFERROR((J16-J30)/J30,"")</f>
        <v/>
      </c>
      <c r="K44" s="10">
        <f>IFERROR((K16-K30)/K30,"")</f>
        <v/>
      </c>
      <c r="L44" s="10">
        <f>IFERROR((L16-L30)/L30,"")</f>
        <v/>
      </c>
      <c r="M44" s="10">
        <f>IFERROR((M16-M30)/M30,"")</f>
        <v/>
      </c>
    </row>
    <row r="45">
      <c r="A45" s="7" t="inlineStr">
        <is>
          <t>2026-07</t>
        </is>
      </c>
      <c r="B45" s="10">
        <f>IFERROR((B17-B31)/B31,"")</f>
        <v/>
      </c>
      <c r="C45" s="10">
        <f>IFERROR((C17-C31)/C31,"")</f>
        <v/>
      </c>
      <c r="D45" s="10">
        <f>IFERROR((D17-D31)/D31,"")</f>
        <v/>
      </c>
      <c r="E45" s="10">
        <f>IFERROR((E17-E31)/E31,"")</f>
        <v/>
      </c>
      <c r="F45" s="10">
        <f>IFERROR((F17-F31)/F31,"")</f>
        <v/>
      </c>
      <c r="G45" s="10">
        <f>IFERROR((G17-G31)/G31,"")</f>
        <v/>
      </c>
      <c r="H45" s="10">
        <f>IFERROR((H17-H31)/H31,"")</f>
        <v/>
      </c>
      <c r="I45" s="10">
        <f>IFERROR((I17-I31)/I31,"")</f>
        <v/>
      </c>
      <c r="J45" s="10">
        <f>IFERROR((J17-J31)/J31,"")</f>
        <v/>
      </c>
      <c r="K45" s="10">
        <f>IFERROR((K17-K31)/K31,"")</f>
        <v/>
      </c>
      <c r="L45" s="10">
        <f>IFERROR((L17-L31)/L31,"")</f>
        <v/>
      </c>
      <c r="M45" s="10">
        <f>IFERROR((M17-M31)/M31,"")</f>
        <v/>
      </c>
    </row>
    <row r="48">
      <c r="A48" s="3" t="inlineStr">
        <is>
          <t>ACQUIRED ON OTP</t>
        </is>
      </c>
    </row>
    <row r="49">
      <c r="A49" s="4" t="inlineStr">
        <is>
          <t>Cohorts Dashboard (ours)</t>
        </is>
      </c>
    </row>
    <row r="50">
      <c r="A50" s="5" t="inlineStr">
        <is>
          <t>Acquisition Month</t>
        </is>
      </c>
      <c r="B50" s="5" t="inlineStr">
        <is>
          <t>Customers</t>
        </is>
      </c>
      <c r="C50" s="6" t="inlineStr">
        <is>
          <t>M0</t>
        </is>
      </c>
      <c r="D50" s="6" t="inlineStr">
        <is>
          <t>M1</t>
        </is>
      </c>
      <c r="E50" s="6" t="inlineStr">
        <is>
          <t>M2</t>
        </is>
      </c>
      <c r="F50" s="6" t="inlineStr">
        <is>
          <t>M3</t>
        </is>
      </c>
      <c r="G50" s="6" t="inlineStr">
        <is>
          <t>M4</t>
        </is>
      </c>
      <c r="H50" s="6" t="inlineStr">
        <is>
          <t>M5</t>
        </is>
      </c>
      <c r="I50" s="6" t="inlineStr">
        <is>
          <t>M6</t>
        </is>
      </c>
      <c r="J50" s="6" t="inlineStr">
        <is>
          <t>M7</t>
        </is>
      </c>
      <c r="K50" s="6" t="inlineStr">
        <is>
          <t>M8</t>
        </is>
      </c>
      <c r="L50" s="6" t="inlineStr">
        <is>
          <t>M9</t>
        </is>
      </c>
      <c r="M50" s="6" t="inlineStr">
        <is>
          <t>M10</t>
        </is>
      </c>
    </row>
    <row r="51">
      <c r="A51" s="7" t="inlineStr">
        <is>
          <t>2025-09</t>
        </is>
      </c>
      <c r="B51" s="8" t="n">
        <v>4767</v>
      </c>
      <c r="C51" s="9" t="n">
        <v>92.5</v>
      </c>
      <c r="D51" s="9" t="n">
        <v>103.96</v>
      </c>
      <c r="E51" s="9" t="n">
        <v>122.88</v>
      </c>
      <c r="F51" s="9" t="n">
        <v>133.84</v>
      </c>
      <c r="G51" s="9" t="n">
        <v>144.76</v>
      </c>
      <c r="H51" s="9" t="n">
        <v>154.99</v>
      </c>
      <c r="I51" s="9" t="n">
        <v>166.25</v>
      </c>
      <c r="J51" s="9" t="n">
        <v>176.16</v>
      </c>
      <c r="K51" s="9" t="n">
        <v>188.16</v>
      </c>
      <c r="L51" s="9" t="n">
        <v>195.8</v>
      </c>
      <c r="M51" s="9" t="n">
        <v>203.64</v>
      </c>
    </row>
    <row r="52">
      <c r="A52" s="7" t="inlineStr">
        <is>
          <t>2025-10</t>
        </is>
      </c>
      <c r="B52" s="8" t="n">
        <v>4641</v>
      </c>
      <c r="C52" s="9" t="n">
        <v>93.03</v>
      </c>
      <c r="D52" s="9" t="n">
        <v>111.61</v>
      </c>
      <c r="E52" s="9" t="n">
        <v>123.02</v>
      </c>
      <c r="F52" s="9" t="n">
        <v>134.36</v>
      </c>
      <c r="G52" s="9" t="n">
        <v>145.13</v>
      </c>
      <c r="H52" s="9" t="n">
        <v>155.05</v>
      </c>
      <c r="I52" s="9" t="n">
        <v>164.14</v>
      </c>
      <c r="J52" s="9" t="n">
        <v>175.55</v>
      </c>
      <c r="K52" s="9" t="n">
        <v>182.09</v>
      </c>
      <c r="L52" s="9" t="n">
        <v>190.59</v>
      </c>
      <c r="M52" s="9" t="n">
        <v>197.1</v>
      </c>
    </row>
    <row r="53">
      <c r="A53" s="7" t="inlineStr">
        <is>
          <t>2025-11</t>
        </is>
      </c>
      <c r="B53" s="8" t="n">
        <v>6704</v>
      </c>
      <c r="C53" s="9" t="n">
        <v>95.95</v>
      </c>
      <c r="D53" s="9" t="n">
        <v>107.91</v>
      </c>
      <c r="E53" s="9" t="n">
        <v>119.65</v>
      </c>
      <c r="F53" s="9" t="n">
        <v>130.08</v>
      </c>
      <c r="G53" s="9" t="n">
        <v>141.8</v>
      </c>
      <c r="H53" s="9" t="n">
        <v>151.96</v>
      </c>
      <c r="I53" s="9" t="n">
        <v>164.51</v>
      </c>
      <c r="J53" s="9" t="n">
        <v>171.56</v>
      </c>
      <c r="K53" s="9" t="n">
        <v>180.49</v>
      </c>
      <c r="L53" s="9" t="n">
        <v>188.49</v>
      </c>
      <c r="M53" s="9" t="n">
        <v>195.45</v>
      </c>
    </row>
    <row r="54">
      <c r="A54" s="7" t="inlineStr">
        <is>
          <t>2025-12</t>
        </is>
      </c>
      <c r="B54" s="8" t="n">
        <v>5956</v>
      </c>
      <c r="C54" s="9" t="n">
        <v>95.42</v>
      </c>
      <c r="D54" s="9" t="n">
        <v>105.77</v>
      </c>
      <c r="E54" s="9" t="n">
        <v>116.35</v>
      </c>
      <c r="F54" s="9" t="n">
        <v>127.42</v>
      </c>
      <c r="G54" s="9" t="n">
        <v>137.28</v>
      </c>
      <c r="H54" s="9" t="n">
        <v>149.57</v>
      </c>
      <c r="I54" s="9" t="n">
        <v>156.61</v>
      </c>
      <c r="J54" s="9" t="n">
        <v>165.19</v>
      </c>
      <c r="K54" s="9" t="n">
        <v>172.28</v>
      </c>
      <c r="L54" s="9" t="n">
        <v>179.11</v>
      </c>
      <c r="M54" s="9" t="n"/>
    </row>
    <row r="55">
      <c r="A55" s="7" t="inlineStr">
        <is>
          <t>2026-01</t>
        </is>
      </c>
      <c r="B55" s="8" t="n">
        <v>6929</v>
      </c>
      <c r="C55" s="9" t="n">
        <v>90.53</v>
      </c>
      <c r="D55" s="9" t="n">
        <v>101.08</v>
      </c>
      <c r="E55" s="9" t="n">
        <v>113.37</v>
      </c>
      <c r="F55" s="9" t="n">
        <v>123.68</v>
      </c>
      <c r="G55" s="9" t="n">
        <v>136.49</v>
      </c>
      <c r="H55" s="9" t="n">
        <v>143.83</v>
      </c>
      <c r="I55" s="9" t="n">
        <v>152.03</v>
      </c>
      <c r="J55" s="9" t="n">
        <v>158.95</v>
      </c>
      <c r="K55" s="9" t="n">
        <v>165.68</v>
      </c>
      <c r="L55" s="9" t="n"/>
      <c r="M55" s="9" t="n"/>
    </row>
    <row r="56">
      <c r="A56" s="7" t="inlineStr">
        <is>
          <t>2026-02</t>
        </is>
      </c>
      <c r="B56" s="8" t="n">
        <v>6694</v>
      </c>
      <c r="C56" s="9" t="n">
        <v>94.28</v>
      </c>
      <c r="D56" s="9" t="n">
        <v>106.85</v>
      </c>
      <c r="E56" s="9" t="n">
        <v>119.05</v>
      </c>
      <c r="F56" s="9" t="n">
        <v>134.54</v>
      </c>
      <c r="G56" s="9" t="n">
        <v>143.49</v>
      </c>
      <c r="H56" s="9" t="n">
        <v>152.48</v>
      </c>
      <c r="I56" s="9" t="n">
        <v>160.87</v>
      </c>
      <c r="J56" s="9" t="n">
        <v>168.34</v>
      </c>
      <c r="K56" s="9" t="n"/>
      <c r="L56" s="9" t="n"/>
      <c r="M56" s="9" t="n"/>
    </row>
    <row r="57">
      <c r="A57" s="7" t="inlineStr">
        <is>
          <t>2026-03</t>
        </is>
      </c>
      <c r="B57" s="8" t="n">
        <v>6643</v>
      </c>
      <c r="C57" s="9" t="n">
        <v>95</v>
      </c>
      <c r="D57" s="9" t="n">
        <v>108.39</v>
      </c>
      <c r="E57" s="9" t="n">
        <v>126.89</v>
      </c>
      <c r="F57" s="9" t="n">
        <v>136.73</v>
      </c>
      <c r="G57" s="9" t="n">
        <v>148.16</v>
      </c>
      <c r="H57" s="9" t="n">
        <v>158.01</v>
      </c>
      <c r="I57" s="9" t="n">
        <v>166.73</v>
      </c>
      <c r="J57" s="9" t="n"/>
      <c r="K57" s="9" t="n"/>
      <c r="L57" s="9" t="n"/>
      <c r="M57" s="9" t="n"/>
    </row>
    <row r="58">
      <c r="A58" s="7" t="inlineStr">
        <is>
          <t>2026-04</t>
        </is>
      </c>
      <c r="B58" s="8" t="n">
        <v>6687</v>
      </c>
      <c r="C58" s="9" t="n">
        <v>94.23999999999999</v>
      </c>
      <c r="D58" s="9" t="n">
        <v>112.97</v>
      </c>
      <c r="E58" s="9" t="n">
        <v>125.36</v>
      </c>
      <c r="F58" s="9" t="n">
        <v>137.69</v>
      </c>
      <c r="G58" s="9" t="n">
        <v>148.31</v>
      </c>
      <c r="H58" s="9" t="n">
        <v>156.63</v>
      </c>
      <c r="I58" s="9" t="n"/>
      <c r="J58" s="9" t="n"/>
      <c r="K58" s="9" t="n"/>
      <c r="L58" s="9" t="n"/>
      <c r="M58" s="9" t="n"/>
    </row>
    <row r="59">
      <c r="A59" s="7" t="inlineStr">
        <is>
          <t>2026-05</t>
        </is>
      </c>
      <c r="B59" s="8" t="n">
        <v>8173</v>
      </c>
      <c r="C59" s="9" t="n">
        <v>95.98999999999999</v>
      </c>
      <c r="D59" s="9" t="n">
        <v>104.15</v>
      </c>
      <c r="E59" s="9" t="n">
        <v>114.42</v>
      </c>
      <c r="F59" s="9" t="n">
        <v>123.91</v>
      </c>
      <c r="G59" s="9" t="n">
        <v>132.43</v>
      </c>
      <c r="H59" s="9" t="n"/>
      <c r="I59" s="9" t="n"/>
      <c r="J59" s="9" t="n"/>
      <c r="K59" s="9" t="n"/>
      <c r="L59" s="9" t="n"/>
      <c r="M59" s="9" t="n"/>
    </row>
    <row r="60">
      <c r="A60" s="7" t="inlineStr">
        <is>
          <t>2026-06</t>
        </is>
      </c>
      <c r="B60" s="8" t="n">
        <v>5526</v>
      </c>
      <c r="C60" s="9" t="n">
        <v>94.90000000000001</v>
      </c>
      <c r="D60" s="9" t="n">
        <v>105.35</v>
      </c>
      <c r="E60" s="9" t="n">
        <v>117.13</v>
      </c>
      <c r="F60" s="9" t="n">
        <v>126.34</v>
      </c>
      <c r="G60" s="9" t="n"/>
      <c r="H60" s="9" t="n"/>
      <c r="I60" s="9" t="n"/>
      <c r="J60" s="9" t="n"/>
      <c r="K60" s="9" t="n"/>
      <c r="L60" s="9" t="n"/>
      <c r="M60" s="9" t="n"/>
    </row>
    <row r="61">
      <c r="A61" s="7" t="inlineStr">
        <is>
          <t>2026-07</t>
        </is>
      </c>
      <c r="B61" s="8" t="n">
        <v>6413</v>
      </c>
      <c r="C61" s="9" t="n">
        <v>98.05</v>
      </c>
      <c r="D61" s="9" t="n">
        <v>110.01</v>
      </c>
      <c r="E61" s="9" t="n">
        <v>121.16</v>
      </c>
      <c r="F61" s="9" t="n"/>
      <c r="G61" s="9" t="n"/>
      <c r="H61" s="9" t="n"/>
      <c r="I61" s="9" t="n"/>
      <c r="J61" s="9" t="n"/>
      <c r="K61" s="9" t="n"/>
      <c r="L61" s="9" t="n"/>
      <c r="M61" s="9" t="n"/>
    </row>
    <row r="63">
      <c r="A63" s="4" t="inlineStr">
        <is>
          <t>Equip LTV analysis (client)</t>
        </is>
      </c>
    </row>
    <row r="64">
      <c r="A64" s="5" t="inlineStr">
        <is>
          <t>Acquisition Month</t>
        </is>
      </c>
      <c r="B64" s="5" t="inlineStr">
        <is>
          <t>Customers</t>
        </is>
      </c>
      <c r="C64" s="6" t="inlineStr">
        <is>
          <t>M0</t>
        </is>
      </c>
      <c r="D64" s="6" t="inlineStr">
        <is>
          <t>M1</t>
        </is>
      </c>
      <c r="E64" s="6" t="inlineStr">
        <is>
          <t>M2</t>
        </is>
      </c>
      <c r="F64" s="6" t="inlineStr">
        <is>
          <t>M3</t>
        </is>
      </c>
      <c r="G64" s="6" t="inlineStr">
        <is>
          <t>M4</t>
        </is>
      </c>
      <c r="H64" s="6" t="inlineStr">
        <is>
          <t>M5</t>
        </is>
      </c>
      <c r="I64" s="6" t="inlineStr">
        <is>
          <t>M6</t>
        </is>
      </c>
      <c r="J64" s="6" t="inlineStr">
        <is>
          <t>M7</t>
        </is>
      </c>
      <c r="K64" s="6" t="inlineStr">
        <is>
          <t>M8</t>
        </is>
      </c>
      <c r="L64" s="6" t="inlineStr">
        <is>
          <t>M9</t>
        </is>
      </c>
      <c r="M64" s="6" t="inlineStr">
        <is>
          <t>M10</t>
        </is>
      </c>
    </row>
    <row r="65">
      <c r="A65" s="7" t="inlineStr">
        <is>
          <t>2025-09</t>
        </is>
      </c>
      <c r="B65" s="8" t="n">
        <v>4807</v>
      </c>
      <c r="C65" s="9" t="n">
        <v>90.62231121000001</v>
      </c>
      <c r="D65" s="9" t="n">
        <v>97.26528188</v>
      </c>
      <c r="E65" s="9" t="n">
        <v>107.2642813</v>
      </c>
      <c r="F65" s="9" t="n">
        <v>112.094042</v>
      </c>
      <c r="G65" s="9" t="n">
        <v>116.1993031</v>
      </c>
      <c r="H65" s="9" t="n">
        <v>120.2562222</v>
      </c>
      <c r="I65" s="9" t="n">
        <v>123.9518036</v>
      </c>
      <c r="J65" s="9" t="n">
        <v>126.864146</v>
      </c>
      <c r="K65" s="9" t="n">
        <v>130.5286811</v>
      </c>
      <c r="L65" s="9" t="n">
        <v>132.6220075</v>
      </c>
      <c r="M65" s="9" t="n">
        <v>134.786062</v>
      </c>
    </row>
    <row r="66">
      <c r="A66" s="7" t="inlineStr">
        <is>
          <t>2025-10</t>
        </is>
      </c>
      <c r="B66" s="8" t="n">
        <v>4678</v>
      </c>
      <c r="C66" s="9" t="n">
        <v>90.42786447</v>
      </c>
      <c r="D66" s="9" t="n">
        <v>102.6423343</v>
      </c>
      <c r="E66" s="9" t="n">
        <v>109.4862292</v>
      </c>
      <c r="F66" s="9" t="n">
        <v>114.9926892</v>
      </c>
      <c r="G66" s="9" t="n">
        <v>119.9567465</v>
      </c>
      <c r="H66" s="9" t="n">
        <v>123.8893758</v>
      </c>
      <c r="I66" s="9" t="n">
        <v>126.627578</v>
      </c>
      <c r="J66" s="9" t="n">
        <v>130.7604382</v>
      </c>
      <c r="K66" s="9" t="n">
        <v>132.6702758</v>
      </c>
      <c r="L66" s="9" t="n">
        <v>135.4952416</v>
      </c>
      <c r="M66" s="9" t="n"/>
    </row>
    <row r="67">
      <c r="A67" s="7" t="inlineStr">
        <is>
          <t>2025-11</t>
        </is>
      </c>
      <c r="B67" s="8" t="n">
        <v>6676</v>
      </c>
      <c r="C67" s="9" t="n">
        <v>94.18704614000001</v>
      </c>
      <c r="D67" s="9" t="n">
        <v>102.9185231</v>
      </c>
      <c r="E67" s="9" t="n">
        <v>109.2991087</v>
      </c>
      <c r="F67" s="9" t="n">
        <v>114.8393214</v>
      </c>
      <c r="G67" s="9" t="n">
        <v>120.1615129</v>
      </c>
      <c r="H67" s="9" t="n">
        <v>124.1814799</v>
      </c>
      <c r="I67" s="9" t="n">
        <v>129.1226648</v>
      </c>
      <c r="J67" s="9" t="n">
        <v>131.4143694</v>
      </c>
      <c r="K67" s="9" t="n">
        <v>134.7352007</v>
      </c>
      <c r="L67" s="9" t="n"/>
      <c r="M67" s="9" t="n"/>
    </row>
    <row r="68">
      <c r="A68" s="7" t="inlineStr">
        <is>
          <t>2025-12</t>
        </is>
      </c>
      <c r="B68" s="8" t="n">
        <v>5940</v>
      </c>
      <c r="C68" s="9" t="n">
        <v>94.74573906000001</v>
      </c>
      <c r="D68" s="9" t="n">
        <v>100.5904562</v>
      </c>
      <c r="E68" s="9" t="n">
        <v>106.0014343</v>
      </c>
      <c r="F68" s="9" t="n">
        <v>110.5965657</v>
      </c>
      <c r="G68" s="9" t="n">
        <v>114.1523182</v>
      </c>
      <c r="H68" s="9" t="n">
        <v>118.4902828</v>
      </c>
      <c r="I68" s="9" t="n">
        <v>120.463665</v>
      </c>
      <c r="J68" s="9" t="n">
        <v>123.0067542</v>
      </c>
      <c r="K68" s="9" t="n"/>
      <c r="L68" s="9" t="n"/>
      <c r="M68" s="9" t="n"/>
    </row>
    <row r="69">
      <c r="A69" s="7" t="inlineStr">
        <is>
          <t>2026-01</t>
        </is>
      </c>
      <c r="B69" s="8" t="n">
        <v>6902</v>
      </c>
      <c r="C69" s="9" t="n">
        <v>89.62524196</v>
      </c>
      <c r="D69" s="9" t="n">
        <v>96.15848884</v>
      </c>
      <c r="E69" s="9" t="n">
        <v>103.0960287</v>
      </c>
      <c r="F69" s="9" t="n">
        <v>108.1027644</v>
      </c>
      <c r="G69" s="9" t="n">
        <v>114.1196841</v>
      </c>
      <c r="H69" s="9" t="n">
        <v>117.2070719</v>
      </c>
      <c r="I69" s="9" t="n">
        <v>120.261885</v>
      </c>
      <c r="J69" s="9" t="n"/>
      <c r="K69" s="9" t="n"/>
      <c r="L69" s="9" t="n"/>
      <c r="M69" s="9" t="n"/>
    </row>
    <row r="70">
      <c r="A70" s="7" t="inlineStr">
        <is>
          <t>2026-02</t>
        </is>
      </c>
      <c r="B70" s="8" t="n">
        <v>6761</v>
      </c>
      <c r="C70" s="9" t="n">
        <v>92.6259858</v>
      </c>
      <c r="D70" s="9" t="n">
        <v>100.2615841</v>
      </c>
      <c r="E70" s="9" t="n">
        <v>107.6074619</v>
      </c>
      <c r="F70" s="9" t="n">
        <v>115.0565257</v>
      </c>
      <c r="G70" s="9" t="n">
        <v>118.9863378</v>
      </c>
      <c r="H70" s="9" t="n">
        <v>123.1475654</v>
      </c>
      <c r="I70" s="9" t="n"/>
      <c r="J70" s="9" t="n"/>
      <c r="K70" s="9" t="n"/>
      <c r="L70" s="9" t="n"/>
      <c r="M70" s="9" t="n"/>
    </row>
    <row r="71">
      <c r="A71" s="7" t="inlineStr">
        <is>
          <t>2026-03</t>
        </is>
      </c>
      <c r="B71" s="8" t="n">
        <v>6599</v>
      </c>
      <c r="C71" s="9" t="n">
        <v>95.3863252</v>
      </c>
      <c r="D71" s="9" t="n">
        <v>104.7795969</v>
      </c>
      <c r="E71" s="9" t="n">
        <v>116.0663858</v>
      </c>
      <c r="F71" s="9" t="n">
        <v>123.6721094</v>
      </c>
      <c r="G71" s="9" t="n">
        <v>130.7052644</v>
      </c>
      <c r="H71" s="9" t="n"/>
      <c r="I71" s="9" t="n"/>
      <c r="J71" s="9" t="n"/>
      <c r="K71" s="9" t="n"/>
      <c r="L71" s="9" t="n"/>
      <c r="M71" s="9" t="n"/>
    </row>
    <row r="72">
      <c r="A72" s="7" t="inlineStr">
        <is>
          <t>2026-04</t>
        </is>
      </c>
      <c r="B72" s="8" t="n">
        <v>6637</v>
      </c>
      <c r="C72" s="9" t="n">
        <v>94.12089949999999</v>
      </c>
      <c r="D72" s="9" t="n">
        <v>105.6088157</v>
      </c>
      <c r="E72" s="9" t="n">
        <v>112.0478303</v>
      </c>
      <c r="F72" s="9" t="n">
        <v>118.5014736</v>
      </c>
      <c r="G72" s="9" t="n"/>
      <c r="H72" s="9" t="n"/>
      <c r="I72" s="9" t="n"/>
      <c r="J72" s="9" t="n"/>
      <c r="K72" s="9" t="n"/>
      <c r="L72" s="9" t="n"/>
      <c r="M72" s="9" t="n"/>
    </row>
    <row r="73">
      <c r="A73" s="7" t="inlineStr">
        <is>
          <t>2026-05</t>
        </is>
      </c>
      <c r="B73" s="8" t="n">
        <v>8081</v>
      </c>
      <c r="C73" s="9" t="n">
        <v>96.32855216</v>
      </c>
      <c r="D73" s="9" t="n">
        <v>102.5448534</v>
      </c>
      <c r="E73" s="9" t="n">
        <v>109.2826729</v>
      </c>
      <c r="F73" s="9" t="n"/>
      <c r="G73" s="9" t="n"/>
      <c r="H73" s="9" t="n"/>
      <c r="I73" s="9" t="n"/>
      <c r="J73" s="9" t="n"/>
      <c r="K73" s="9" t="n"/>
      <c r="L73" s="9" t="n"/>
      <c r="M73" s="9" t="n"/>
    </row>
    <row r="74">
      <c r="A74" s="7" t="inlineStr">
        <is>
          <t>2026-06</t>
        </is>
      </c>
      <c r="B74" s="8" t="n">
        <v>5486</v>
      </c>
      <c r="C74" s="9" t="n">
        <v>95.35924353</v>
      </c>
      <c r="D74" s="9" t="n">
        <v>103.2586365</v>
      </c>
      <c r="E74" s="9" t="n"/>
      <c r="F74" s="9" t="n"/>
      <c r="G74" s="9" t="n"/>
      <c r="H74" s="9" t="n"/>
      <c r="I74" s="9" t="n"/>
      <c r="J74" s="9" t="n"/>
      <c r="K74" s="9" t="n"/>
      <c r="L74" s="9" t="n"/>
      <c r="M74" s="9" t="n"/>
    </row>
    <row r="75">
      <c r="A75" s="7" t="inlineStr">
        <is>
          <t>2026-07</t>
        </is>
      </c>
      <c r="B75" s="8" t="n">
        <v>6385</v>
      </c>
      <c r="C75" s="9" t="n">
        <v>99.29728738999999</v>
      </c>
      <c r="D75" s="9" t="n"/>
      <c r="E75" s="9" t="n"/>
      <c r="F75" s="9" t="n"/>
      <c r="G75" s="9" t="n"/>
      <c r="H75" s="9" t="n"/>
      <c r="I75" s="9" t="n"/>
      <c r="J75" s="9" t="n"/>
      <c r="K75" s="9" t="n"/>
      <c r="L75" s="9" t="n"/>
      <c r="M75" s="9" t="n"/>
    </row>
    <row r="77">
      <c r="A77" s="4" t="inlineStr">
        <is>
          <t>% Diff  =  (ours − client) ÷ client      [green ≤2%  ·  amber 2–5%  ·  red &gt;5%]</t>
        </is>
      </c>
    </row>
    <row r="78">
      <c r="A78" s="5" t="inlineStr">
        <is>
          <t>Acquisition Month</t>
        </is>
      </c>
      <c r="B78" s="5" t="inlineStr">
        <is>
          <t>Customers</t>
        </is>
      </c>
      <c r="C78" s="6" t="inlineStr">
        <is>
          <t>M0</t>
        </is>
      </c>
      <c r="D78" s="6" t="inlineStr">
        <is>
          <t>M1</t>
        </is>
      </c>
      <c r="E78" s="6" t="inlineStr">
        <is>
          <t>M2</t>
        </is>
      </c>
      <c r="F78" s="6" t="inlineStr">
        <is>
          <t>M3</t>
        </is>
      </c>
      <c r="G78" s="6" t="inlineStr">
        <is>
          <t>M4</t>
        </is>
      </c>
      <c r="H78" s="6" t="inlineStr">
        <is>
          <t>M5</t>
        </is>
      </c>
      <c r="I78" s="6" t="inlineStr">
        <is>
          <t>M6</t>
        </is>
      </c>
      <c r="J78" s="6" t="inlineStr">
        <is>
          <t>M7</t>
        </is>
      </c>
      <c r="K78" s="6" t="inlineStr">
        <is>
          <t>M8</t>
        </is>
      </c>
      <c r="L78" s="6" t="inlineStr">
        <is>
          <t>M9</t>
        </is>
      </c>
      <c r="M78" s="6" t="inlineStr">
        <is>
          <t>M10</t>
        </is>
      </c>
    </row>
    <row r="79">
      <c r="A79" s="7" t="inlineStr">
        <is>
          <t>2025-09</t>
        </is>
      </c>
      <c r="B79" s="10">
        <f>IFERROR((B51-B65)/B65,"")</f>
        <v/>
      </c>
      <c r="C79" s="10">
        <f>IFERROR((C51-C65)/C65,"")</f>
        <v/>
      </c>
      <c r="D79" s="10">
        <f>IFERROR((D51-D65)/D65,"")</f>
        <v/>
      </c>
      <c r="E79" s="10">
        <f>IFERROR((E51-E65)/E65,"")</f>
        <v/>
      </c>
      <c r="F79" s="10">
        <f>IFERROR((F51-F65)/F65,"")</f>
        <v/>
      </c>
      <c r="G79" s="10">
        <f>IFERROR((G51-G65)/G65,"")</f>
        <v/>
      </c>
      <c r="H79" s="10">
        <f>IFERROR((H51-H65)/H65,"")</f>
        <v/>
      </c>
      <c r="I79" s="10">
        <f>IFERROR((I51-I65)/I65,"")</f>
        <v/>
      </c>
      <c r="J79" s="10">
        <f>IFERROR((J51-J65)/J65,"")</f>
        <v/>
      </c>
      <c r="K79" s="10">
        <f>IFERROR((K51-K65)/K65,"")</f>
        <v/>
      </c>
      <c r="L79" s="10">
        <f>IFERROR((L51-L65)/L65,"")</f>
        <v/>
      </c>
      <c r="M79" s="10">
        <f>IFERROR((M51-M65)/M65,"")</f>
        <v/>
      </c>
    </row>
    <row r="80">
      <c r="A80" s="7" t="inlineStr">
        <is>
          <t>2025-10</t>
        </is>
      </c>
      <c r="B80" s="10">
        <f>IFERROR((B52-B66)/B66,"")</f>
        <v/>
      </c>
      <c r="C80" s="10">
        <f>IFERROR((C52-C66)/C66,"")</f>
        <v/>
      </c>
      <c r="D80" s="10">
        <f>IFERROR((D52-D66)/D66,"")</f>
        <v/>
      </c>
      <c r="E80" s="10">
        <f>IFERROR((E52-E66)/E66,"")</f>
        <v/>
      </c>
      <c r="F80" s="10">
        <f>IFERROR((F52-F66)/F66,"")</f>
        <v/>
      </c>
      <c r="G80" s="10">
        <f>IFERROR((G52-G66)/G66,"")</f>
        <v/>
      </c>
      <c r="H80" s="10">
        <f>IFERROR((H52-H66)/H66,"")</f>
        <v/>
      </c>
      <c r="I80" s="10">
        <f>IFERROR((I52-I66)/I66,"")</f>
        <v/>
      </c>
      <c r="J80" s="10">
        <f>IFERROR((J52-J66)/J66,"")</f>
        <v/>
      </c>
      <c r="K80" s="10">
        <f>IFERROR((K52-K66)/K66,"")</f>
        <v/>
      </c>
      <c r="L80" s="10">
        <f>IFERROR((L52-L66)/L66,"")</f>
        <v/>
      </c>
      <c r="M80" s="10">
        <f>IFERROR((M52-M66)/M66,"")</f>
        <v/>
      </c>
    </row>
    <row r="81">
      <c r="A81" s="7" t="inlineStr">
        <is>
          <t>2025-11</t>
        </is>
      </c>
      <c r="B81" s="10">
        <f>IFERROR((B53-B67)/B67,"")</f>
        <v/>
      </c>
      <c r="C81" s="10">
        <f>IFERROR((C53-C67)/C67,"")</f>
        <v/>
      </c>
      <c r="D81" s="10">
        <f>IFERROR((D53-D67)/D67,"")</f>
        <v/>
      </c>
      <c r="E81" s="10">
        <f>IFERROR((E53-E67)/E67,"")</f>
        <v/>
      </c>
      <c r="F81" s="10">
        <f>IFERROR((F53-F67)/F67,"")</f>
        <v/>
      </c>
      <c r="G81" s="10">
        <f>IFERROR((G53-G67)/G67,"")</f>
        <v/>
      </c>
      <c r="H81" s="10">
        <f>IFERROR((H53-H67)/H67,"")</f>
        <v/>
      </c>
      <c r="I81" s="10">
        <f>IFERROR((I53-I67)/I67,"")</f>
        <v/>
      </c>
      <c r="J81" s="10">
        <f>IFERROR((J53-J67)/J67,"")</f>
        <v/>
      </c>
      <c r="K81" s="10">
        <f>IFERROR((K53-K67)/K67,"")</f>
        <v/>
      </c>
      <c r="L81" s="10">
        <f>IFERROR((L53-L67)/L67,"")</f>
        <v/>
      </c>
      <c r="M81" s="10">
        <f>IFERROR((M53-M67)/M67,"")</f>
        <v/>
      </c>
    </row>
    <row r="82">
      <c r="A82" s="7" t="inlineStr">
        <is>
          <t>2025-12</t>
        </is>
      </c>
      <c r="B82" s="10">
        <f>IFERROR((B54-B68)/B68,"")</f>
        <v/>
      </c>
      <c r="C82" s="10">
        <f>IFERROR((C54-C68)/C68,"")</f>
        <v/>
      </c>
      <c r="D82" s="10">
        <f>IFERROR((D54-D68)/D68,"")</f>
        <v/>
      </c>
      <c r="E82" s="10">
        <f>IFERROR((E54-E68)/E68,"")</f>
        <v/>
      </c>
      <c r="F82" s="10">
        <f>IFERROR((F54-F68)/F68,"")</f>
        <v/>
      </c>
      <c r="G82" s="10">
        <f>IFERROR((G54-G68)/G68,"")</f>
        <v/>
      </c>
      <c r="H82" s="10">
        <f>IFERROR((H54-H68)/H68,"")</f>
        <v/>
      </c>
      <c r="I82" s="10">
        <f>IFERROR((I54-I68)/I68,"")</f>
        <v/>
      </c>
      <c r="J82" s="10">
        <f>IFERROR((J54-J68)/J68,"")</f>
        <v/>
      </c>
      <c r="K82" s="10">
        <f>IFERROR((K54-K68)/K68,"")</f>
        <v/>
      </c>
      <c r="L82" s="10">
        <f>IFERROR((L54-L68)/L68,"")</f>
        <v/>
      </c>
      <c r="M82" s="10">
        <f>IFERROR((M54-M68)/M68,"")</f>
        <v/>
      </c>
    </row>
    <row r="83">
      <c r="A83" s="7" t="inlineStr">
        <is>
          <t>2026-01</t>
        </is>
      </c>
      <c r="B83" s="10">
        <f>IFERROR((B55-B69)/B69,"")</f>
        <v/>
      </c>
      <c r="C83" s="10">
        <f>IFERROR((C55-C69)/C69,"")</f>
        <v/>
      </c>
      <c r="D83" s="10">
        <f>IFERROR((D55-D69)/D69,"")</f>
        <v/>
      </c>
      <c r="E83" s="10">
        <f>IFERROR((E55-E69)/E69,"")</f>
        <v/>
      </c>
      <c r="F83" s="10">
        <f>IFERROR((F55-F69)/F69,"")</f>
        <v/>
      </c>
      <c r="G83" s="10">
        <f>IFERROR((G55-G69)/G69,"")</f>
        <v/>
      </c>
      <c r="H83" s="10">
        <f>IFERROR((H55-H69)/H69,"")</f>
        <v/>
      </c>
      <c r="I83" s="10">
        <f>IFERROR((I55-I69)/I69,"")</f>
        <v/>
      </c>
      <c r="J83" s="10">
        <f>IFERROR((J55-J69)/J69,"")</f>
        <v/>
      </c>
      <c r="K83" s="10">
        <f>IFERROR((K55-K69)/K69,"")</f>
        <v/>
      </c>
      <c r="L83" s="10">
        <f>IFERROR((L55-L69)/L69,"")</f>
        <v/>
      </c>
      <c r="M83" s="10">
        <f>IFERROR((M55-M69)/M69,"")</f>
        <v/>
      </c>
    </row>
    <row r="84">
      <c r="A84" s="7" t="inlineStr">
        <is>
          <t>2026-02</t>
        </is>
      </c>
      <c r="B84" s="10">
        <f>IFERROR((B56-B70)/B70,"")</f>
        <v/>
      </c>
      <c r="C84" s="10">
        <f>IFERROR((C56-C70)/C70,"")</f>
        <v/>
      </c>
      <c r="D84" s="10">
        <f>IFERROR((D56-D70)/D70,"")</f>
        <v/>
      </c>
      <c r="E84" s="10">
        <f>IFERROR((E56-E70)/E70,"")</f>
        <v/>
      </c>
      <c r="F84" s="10">
        <f>IFERROR((F56-F70)/F70,"")</f>
        <v/>
      </c>
      <c r="G84" s="10">
        <f>IFERROR((G56-G70)/G70,"")</f>
        <v/>
      </c>
      <c r="H84" s="10">
        <f>IFERROR((H56-H70)/H70,"")</f>
        <v/>
      </c>
      <c r="I84" s="10">
        <f>IFERROR((I56-I70)/I70,"")</f>
        <v/>
      </c>
      <c r="J84" s="10">
        <f>IFERROR((J56-J70)/J70,"")</f>
        <v/>
      </c>
      <c r="K84" s="10">
        <f>IFERROR((K56-K70)/K70,"")</f>
        <v/>
      </c>
      <c r="L84" s="10">
        <f>IFERROR((L56-L70)/L70,"")</f>
        <v/>
      </c>
      <c r="M84" s="10">
        <f>IFERROR((M56-M70)/M70,"")</f>
        <v/>
      </c>
    </row>
    <row r="85">
      <c r="A85" s="7" t="inlineStr">
        <is>
          <t>2026-03</t>
        </is>
      </c>
      <c r="B85" s="10">
        <f>IFERROR((B57-B71)/B71,"")</f>
        <v/>
      </c>
      <c r="C85" s="10">
        <f>IFERROR((C57-C71)/C71,"")</f>
        <v/>
      </c>
      <c r="D85" s="10">
        <f>IFERROR((D57-D71)/D71,"")</f>
        <v/>
      </c>
      <c r="E85" s="10">
        <f>IFERROR((E57-E71)/E71,"")</f>
        <v/>
      </c>
      <c r="F85" s="10">
        <f>IFERROR((F57-F71)/F71,"")</f>
        <v/>
      </c>
      <c r="G85" s="10">
        <f>IFERROR((G57-G71)/G71,"")</f>
        <v/>
      </c>
      <c r="H85" s="10">
        <f>IFERROR((H57-H71)/H71,"")</f>
        <v/>
      </c>
      <c r="I85" s="10">
        <f>IFERROR((I57-I71)/I71,"")</f>
        <v/>
      </c>
      <c r="J85" s="10">
        <f>IFERROR((J57-J71)/J71,"")</f>
        <v/>
      </c>
      <c r="K85" s="10">
        <f>IFERROR((K57-K71)/K71,"")</f>
        <v/>
      </c>
      <c r="L85" s="10">
        <f>IFERROR((L57-L71)/L71,"")</f>
        <v/>
      </c>
      <c r="M85" s="10">
        <f>IFERROR((M57-M71)/M71,"")</f>
        <v/>
      </c>
    </row>
    <row r="86">
      <c r="A86" s="7" t="inlineStr">
        <is>
          <t>2026-04</t>
        </is>
      </c>
      <c r="B86" s="10">
        <f>IFERROR((B58-B72)/B72,"")</f>
        <v/>
      </c>
      <c r="C86" s="10">
        <f>IFERROR((C58-C72)/C72,"")</f>
        <v/>
      </c>
      <c r="D86" s="10">
        <f>IFERROR((D58-D72)/D72,"")</f>
        <v/>
      </c>
      <c r="E86" s="10">
        <f>IFERROR((E58-E72)/E72,"")</f>
        <v/>
      </c>
      <c r="F86" s="10">
        <f>IFERROR((F58-F72)/F72,"")</f>
        <v/>
      </c>
      <c r="G86" s="10">
        <f>IFERROR((G58-G72)/G72,"")</f>
        <v/>
      </c>
      <c r="H86" s="10">
        <f>IFERROR((H58-H72)/H72,"")</f>
        <v/>
      </c>
      <c r="I86" s="10">
        <f>IFERROR((I58-I72)/I72,"")</f>
        <v/>
      </c>
      <c r="J86" s="10">
        <f>IFERROR((J58-J72)/J72,"")</f>
        <v/>
      </c>
      <c r="K86" s="10">
        <f>IFERROR((K58-K72)/K72,"")</f>
        <v/>
      </c>
      <c r="L86" s="10">
        <f>IFERROR((L58-L72)/L72,"")</f>
        <v/>
      </c>
      <c r="M86" s="10">
        <f>IFERROR((M58-M72)/M72,"")</f>
        <v/>
      </c>
    </row>
    <row r="87">
      <c r="A87" s="7" t="inlineStr">
        <is>
          <t>2026-05</t>
        </is>
      </c>
      <c r="B87" s="10">
        <f>IFERROR((B59-B73)/B73,"")</f>
        <v/>
      </c>
      <c r="C87" s="10">
        <f>IFERROR((C59-C73)/C73,"")</f>
        <v/>
      </c>
      <c r="D87" s="10">
        <f>IFERROR((D59-D73)/D73,"")</f>
        <v/>
      </c>
      <c r="E87" s="10">
        <f>IFERROR((E59-E73)/E73,"")</f>
        <v/>
      </c>
      <c r="F87" s="10">
        <f>IFERROR((F59-F73)/F73,"")</f>
        <v/>
      </c>
      <c r="G87" s="10">
        <f>IFERROR((G59-G73)/G73,"")</f>
        <v/>
      </c>
      <c r="H87" s="10">
        <f>IFERROR((H59-H73)/H73,"")</f>
        <v/>
      </c>
      <c r="I87" s="10">
        <f>IFERROR((I59-I73)/I73,"")</f>
        <v/>
      </c>
      <c r="J87" s="10">
        <f>IFERROR((J59-J73)/J73,"")</f>
        <v/>
      </c>
      <c r="K87" s="10">
        <f>IFERROR((K59-K73)/K73,"")</f>
        <v/>
      </c>
      <c r="L87" s="10">
        <f>IFERROR((L59-L73)/L73,"")</f>
        <v/>
      </c>
      <c r="M87" s="10">
        <f>IFERROR((M59-M73)/M73,"")</f>
        <v/>
      </c>
    </row>
    <row r="88">
      <c r="A88" s="7" t="inlineStr">
        <is>
          <t>2026-06</t>
        </is>
      </c>
      <c r="B88" s="10">
        <f>IFERROR((B60-B74)/B74,"")</f>
        <v/>
      </c>
      <c r="C88" s="10">
        <f>IFERROR((C60-C74)/C74,"")</f>
        <v/>
      </c>
      <c r="D88" s="10">
        <f>IFERROR((D60-D74)/D74,"")</f>
        <v/>
      </c>
      <c r="E88" s="10">
        <f>IFERROR((E60-E74)/E74,"")</f>
        <v/>
      </c>
      <c r="F88" s="10">
        <f>IFERROR((F60-F74)/F74,"")</f>
        <v/>
      </c>
      <c r="G88" s="10">
        <f>IFERROR((G60-G74)/G74,"")</f>
        <v/>
      </c>
      <c r="H88" s="10">
        <f>IFERROR((H60-H74)/H74,"")</f>
        <v/>
      </c>
      <c r="I88" s="10">
        <f>IFERROR((I60-I74)/I74,"")</f>
        <v/>
      </c>
      <c r="J88" s="10">
        <f>IFERROR((J60-J74)/J74,"")</f>
        <v/>
      </c>
      <c r="K88" s="10">
        <f>IFERROR((K60-K74)/K74,"")</f>
        <v/>
      </c>
      <c r="L88" s="10">
        <f>IFERROR((L60-L74)/L74,"")</f>
        <v/>
      </c>
      <c r="M88" s="10">
        <f>IFERROR((M60-M74)/M74,"")</f>
        <v/>
      </c>
    </row>
    <row r="89">
      <c r="A89" s="7" t="inlineStr">
        <is>
          <t>2026-07</t>
        </is>
      </c>
      <c r="B89" s="10">
        <f>IFERROR((B61-B75)/B75,"")</f>
        <v/>
      </c>
      <c r="C89" s="10">
        <f>IFERROR((C61-C75)/C75,"")</f>
        <v/>
      </c>
      <c r="D89" s="10">
        <f>IFERROR((D61-D75)/D75,"")</f>
        <v/>
      </c>
      <c r="E89" s="10">
        <f>IFERROR((E61-E75)/E75,"")</f>
        <v/>
      </c>
      <c r="F89" s="10">
        <f>IFERROR((F61-F75)/F75,"")</f>
        <v/>
      </c>
      <c r="G89" s="10">
        <f>IFERROR((G61-G75)/G75,"")</f>
        <v/>
      </c>
      <c r="H89" s="10">
        <f>IFERROR((H61-H75)/H75,"")</f>
        <v/>
      </c>
      <c r="I89" s="10">
        <f>IFERROR((I61-I75)/I75,"")</f>
        <v/>
      </c>
      <c r="J89" s="10">
        <f>IFERROR((J61-J75)/J75,"")</f>
        <v/>
      </c>
      <c r="K89" s="10">
        <f>IFERROR((K61-K75)/K75,"")</f>
        <v/>
      </c>
      <c r="L89" s="10">
        <f>IFERROR((L61-L75)/L75,"")</f>
        <v/>
      </c>
      <c r="M89" s="10">
        <f>IFERROR((M61-M75)/M75,"")</f>
        <v/>
      </c>
    </row>
    <row r="92">
      <c r="A92" s="3" t="inlineStr">
        <is>
          <t>ACQUIRED ON SUBSCRIPTION</t>
        </is>
      </c>
    </row>
    <row r="93">
      <c r="A93" s="4" t="inlineStr">
        <is>
          <t>Cohorts Dashboard (ours)</t>
        </is>
      </c>
    </row>
    <row r="94">
      <c r="A94" s="5" t="inlineStr">
        <is>
          <t>Acquisition Month</t>
        </is>
      </c>
      <c r="B94" s="5" t="inlineStr">
        <is>
          <t>Customers</t>
        </is>
      </c>
      <c r="C94" s="6" t="inlineStr">
        <is>
          <t>M0</t>
        </is>
      </c>
      <c r="D94" s="6" t="inlineStr">
        <is>
          <t>M1</t>
        </is>
      </c>
      <c r="E94" s="6" t="inlineStr">
        <is>
          <t>M2</t>
        </is>
      </c>
      <c r="F94" s="6" t="inlineStr">
        <is>
          <t>M3</t>
        </is>
      </c>
      <c r="G94" s="6" t="inlineStr">
        <is>
          <t>M4</t>
        </is>
      </c>
      <c r="H94" s="6" t="inlineStr">
        <is>
          <t>M5</t>
        </is>
      </c>
      <c r="I94" s="6" t="inlineStr">
        <is>
          <t>M6</t>
        </is>
      </c>
      <c r="J94" s="6" t="inlineStr">
        <is>
          <t>M7</t>
        </is>
      </c>
      <c r="K94" s="6" t="inlineStr">
        <is>
          <t>M8</t>
        </is>
      </c>
      <c r="L94" s="6" t="inlineStr">
        <is>
          <t>M9</t>
        </is>
      </c>
      <c r="M94" s="6" t="inlineStr">
        <is>
          <t>M10</t>
        </is>
      </c>
    </row>
    <row r="95">
      <c r="A95" s="7" t="inlineStr">
        <is>
          <t>2025-09</t>
        </is>
      </c>
      <c r="B95" s="8" t="n">
        <v>3153</v>
      </c>
      <c r="C95" s="9" t="n">
        <v>95.98</v>
      </c>
      <c r="D95" s="9" t="n">
        <v>119.91</v>
      </c>
      <c r="E95" s="9" t="n">
        <v>154.47</v>
      </c>
      <c r="F95" s="9" t="n">
        <v>180.39</v>
      </c>
      <c r="G95" s="9" t="n">
        <v>201</v>
      </c>
      <c r="H95" s="9" t="n">
        <v>218.78</v>
      </c>
      <c r="I95" s="9" t="n">
        <v>243.02</v>
      </c>
      <c r="J95" s="9" t="n">
        <v>260.7</v>
      </c>
      <c r="K95" s="9" t="n">
        <v>281.9</v>
      </c>
      <c r="L95" s="9" t="n">
        <v>295.77</v>
      </c>
      <c r="M95" s="9" t="n">
        <v>309.51</v>
      </c>
    </row>
    <row r="96">
      <c r="A96" s="7" t="inlineStr">
        <is>
          <t>2025-10</t>
        </is>
      </c>
      <c r="B96" s="8" t="n">
        <v>3063</v>
      </c>
      <c r="C96" s="9" t="n">
        <v>97.67</v>
      </c>
      <c r="D96" s="9" t="n">
        <v>126.95</v>
      </c>
      <c r="E96" s="9" t="n">
        <v>153.7</v>
      </c>
      <c r="F96" s="9" t="n">
        <v>181.09</v>
      </c>
      <c r="G96" s="9" t="n">
        <v>201.01</v>
      </c>
      <c r="H96" s="9" t="n">
        <v>225.66</v>
      </c>
      <c r="I96" s="9" t="n">
        <v>248.13</v>
      </c>
      <c r="J96" s="9" t="n">
        <v>268.78</v>
      </c>
      <c r="K96" s="9" t="n">
        <v>284.22</v>
      </c>
      <c r="L96" s="9" t="n">
        <v>301.26</v>
      </c>
      <c r="M96" s="9" t="n">
        <v>316.17</v>
      </c>
    </row>
    <row r="97">
      <c r="A97" s="7" t="inlineStr">
        <is>
          <t>2025-11</t>
        </is>
      </c>
      <c r="B97" s="8" t="n">
        <v>5273</v>
      </c>
      <c r="C97" s="9" t="n">
        <v>105.54</v>
      </c>
      <c r="D97" s="9" t="n">
        <v>126.89</v>
      </c>
      <c r="E97" s="9" t="n">
        <v>153.49</v>
      </c>
      <c r="F97" s="9" t="n">
        <v>183.12</v>
      </c>
      <c r="G97" s="9" t="n">
        <v>207.42</v>
      </c>
      <c r="H97" s="9" t="n">
        <v>225.12</v>
      </c>
      <c r="I97" s="9" t="n">
        <v>250.99</v>
      </c>
      <c r="J97" s="9" t="n">
        <v>265.48</v>
      </c>
      <c r="K97" s="9" t="n">
        <v>281.72</v>
      </c>
      <c r="L97" s="9" t="n">
        <v>297.38</v>
      </c>
      <c r="M97" s="9" t="n">
        <v>310.99</v>
      </c>
    </row>
    <row r="98">
      <c r="A98" s="7" t="inlineStr">
        <is>
          <t>2025-12</t>
        </is>
      </c>
      <c r="B98" s="8" t="n">
        <v>3138</v>
      </c>
      <c r="C98" s="9" t="n">
        <v>102.53</v>
      </c>
      <c r="D98" s="9" t="n">
        <v>127.39</v>
      </c>
      <c r="E98" s="9" t="n">
        <v>151.28</v>
      </c>
      <c r="F98" s="9" t="n">
        <v>186.84</v>
      </c>
      <c r="G98" s="9" t="n">
        <v>207.6</v>
      </c>
      <c r="H98" s="9" t="n">
        <v>231.2</v>
      </c>
      <c r="I98" s="9" t="n">
        <v>248.78</v>
      </c>
      <c r="J98" s="9" t="n">
        <v>264.1</v>
      </c>
      <c r="K98" s="9" t="n">
        <v>280.39</v>
      </c>
      <c r="L98" s="9" t="n">
        <v>295.91</v>
      </c>
      <c r="M98" s="9" t="n"/>
    </row>
    <row r="99">
      <c r="A99" s="7" t="inlineStr">
        <is>
          <t>2026-01</t>
        </is>
      </c>
      <c r="B99" s="8" t="n">
        <v>5363</v>
      </c>
      <c r="C99" s="9" t="n">
        <v>96.33</v>
      </c>
      <c r="D99" s="9" t="n">
        <v>116.37</v>
      </c>
      <c r="E99" s="9" t="n">
        <v>148.23</v>
      </c>
      <c r="F99" s="9" t="n">
        <v>182.15</v>
      </c>
      <c r="G99" s="9" t="n">
        <v>209.23</v>
      </c>
      <c r="H99" s="9" t="n">
        <v>223.82</v>
      </c>
      <c r="I99" s="9" t="n">
        <v>245.04</v>
      </c>
      <c r="J99" s="9" t="n">
        <v>259.43</v>
      </c>
      <c r="K99" s="9" t="n">
        <v>273.23</v>
      </c>
      <c r="L99" s="9" t="n"/>
      <c r="M99" s="9" t="n"/>
    </row>
    <row r="100">
      <c r="A100" s="7" t="inlineStr">
        <is>
          <t>2026-02</t>
        </is>
      </c>
      <c r="B100" s="8" t="n">
        <v>5192</v>
      </c>
      <c r="C100" s="9" t="n">
        <v>97.51000000000001</v>
      </c>
      <c r="D100" s="9" t="n">
        <v>127.52</v>
      </c>
      <c r="E100" s="9" t="n">
        <v>157.72</v>
      </c>
      <c r="F100" s="9" t="n">
        <v>192.28</v>
      </c>
      <c r="G100" s="9" t="n">
        <v>211.16</v>
      </c>
      <c r="H100" s="9" t="n">
        <v>228.45</v>
      </c>
      <c r="I100" s="9" t="n">
        <v>249.51</v>
      </c>
      <c r="J100" s="9" t="n">
        <v>264.19</v>
      </c>
      <c r="K100" s="9" t="n"/>
      <c r="L100" s="9" t="n"/>
      <c r="M100" s="9" t="n"/>
    </row>
    <row r="101">
      <c r="A101" s="7" t="inlineStr">
        <is>
          <t>2026-03</t>
        </is>
      </c>
      <c r="B101" s="8" t="n">
        <v>4577</v>
      </c>
      <c r="C101" s="9" t="n">
        <v>101.01</v>
      </c>
      <c r="D101" s="9" t="n">
        <v>132.75</v>
      </c>
      <c r="E101" s="9" t="n">
        <v>169.46</v>
      </c>
      <c r="F101" s="9" t="n">
        <v>198.38</v>
      </c>
      <c r="G101" s="9" t="n">
        <v>218.34</v>
      </c>
      <c r="H101" s="9" t="n">
        <v>236.72</v>
      </c>
      <c r="I101" s="9" t="n">
        <v>256.07</v>
      </c>
      <c r="J101" s="9" t="n"/>
      <c r="K101" s="9" t="n"/>
      <c r="L101" s="9" t="n"/>
      <c r="M101" s="9" t="n"/>
    </row>
    <row r="102">
      <c r="A102" s="7" t="inlineStr">
        <is>
          <t>2026-04</t>
        </is>
      </c>
      <c r="B102" s="8" t="n">
        <v>4478</v>
      </c>
      <c r="C102" s="9" t="n">
        <v>103.38</v>
      </c>
      <c r="D102" s="9" t="n">
        <v>142.06</v>
      </c>
      <c r="E102" s="9" t="n">
        <v>169.53</v>
      </c>
      <c r="F102" s="9" t="n">
        <v>200.93</v>
      </c>
      <c r="G102" s="9" t="n">
        <v>222.53</v>
      </c>
      <c r="H102" s="9" t="n">
        <v>239.86</v>
      </c>
      <c r="I102" s="9" t="n"/>
      <c r="J102" s="9" t="n"/>
      <c r="K102" s="9" t="n"/>
      <c r="L102" s="9" t="n"/>
      <c r="M102" s="9" t="n"/>
    </row>
    <row r="103">
      <c r="A103" s="7" t="inlineStr">
        <is>
          <t>2026-05</t>
        </is>
      </c>
      <c r="B103" s="8" t="n">
        <v>7765</v>
      </c>
      <c r="C103" s="9" t="n">
        <v>101.59</v>
      </c>
      <c r="D103" s="9" t="n">
        <v>128.08</v>
      </c>
      <c r="E103" s="9" t="n">
        <v>157.97</v>
      </c>
      <c r="F103" s="9" t="n">
        <v>190.4</v>
      </c>
      <c r="G103" s="9" t="n">
        <v>208.49</v>
      </c>
      <c r="H103" s="9" t="n"/>
      <c r="I103" s="9" t="n"/>
      <c r="J103" s="9" t="n"/>
      <c r="K103" s="9" t="n"/>
      <c r="L103" s="9" t="n"/>
      <c r="M103" s="9" t="n"/>
    </row>
    <row r="104">
      <c r="A104" s="7" t="inlineStr">
        <is>
          <t>2026-06</t>
        </is>
      </c>
      <c r="B104" s="8" t="n">
        <v>3459</v>
      </c>
      <c r="C104" s="9" t="n">
        <v>104.61</v>
      </c>
      <c r="D104" s="9" t="n">
        <v>138.43</v>
      </c>
      <c r="E104" s="9" t="n">
        <v>171.08</v>
      </c>
      <c r="F104" s="9" t="n">
        <v>202.76</v>
      </c>
      <c r="G104" s="9" t="n"/>
      <c r="H104" s="9" t="n"/>
      <c r="I104" s="9" t="n"/>
      <c r="J104" s="9" t="n"/>
      <c r="K104" s="9" t="n"/>
      <c r="L104" s="9" t="n"/>
      <c r="M104" s="9" t="n"/>
    </row>
    <row r="105">
      <c r="A105" s="7" t="inlineStr">
        <is>
          <t>2026-07</t>
        </is>
      </c>
      <c r="B105" s="8" t="n">
        <v>4437</v>
      </c>
      <c r="C105" s="9" t="n">
        <v>104.36</v>
      </c>
      <c r="D105" s="9" t="n">
        <v>134.46</v>
      </c>
      <c r="E105" s="9" t="n">
        <v>165.18</v>
      </c>
      <c r="F105" s="9" t="n"/>
      <c r="G105" s="9" t="n"/>
      <c r="H105" s="9" t="n"/>
      <c r="I105" s="9" t="n"/>
      <c r="J105" s="9" t="n"/>
      <c r="K105" s="9" t="n"/>
      <c r="L105" s="9" t="n"/>
      <c r="M105" s="9" t="n"/>
    </row>
    <row r="107">
      <c r="A107" s="4" t="inlineStr">
        <is>
          <t>Equip LTV analysis (client)</t>
        </is>
      </c>
    </row>
    <row r="108">
      <c r="A108" s="5" t="inlineStr">
        <is>
          <t>Acquisition Month</t>
        </is>
      </c>
      <c r="B108" s="5" t="inlineStr">
        <is>
          <t>Customers</t>
        </is>
      </c>
      <c r="C108" s="6" t="inlineStr">
        <is>
          <t>M0</t>
        </is>
      </c>
      <c r="D108" s="6" t="inlineStr">
        <is>
          <t>M1</t>
        </is>
      </c>
      <c r="E108" s="6" t="inlineStr">
        <is>
          <t>M2</t>
        </is>
      </c>
      <c r="F108" s="6" t="inlineStr">
        <is>
          <t>M3</t>
        </is>
      </c>
      <c r="G108" s="6" t="inlineStr">
        <is>
          <t>M4</t>
        </is>
      </c>
      <c r="H108" s="6" t="inlineStr">
        <is>
          <t>M5</t>
        </is>
      </c>
      <c r="I108" s="6" t="inlineStr">
        <is>
          <t>M6</t>
        </is>
      </c>
      <c r="J108" s="6" t="inlineStr">
        <is>
          <t>M7</t>
        </is>
      </c>
      <c r="K108" s="6" t="inlineStr">
        <is>
          <t>M8</t>
        </is>
      </c>
      <c r="L108" s="6" t="inlineStr">
        <is>
          <t>M9</t>
        </is>
      </c>
      <c r="M108" s="6" t="inlineStr">
        <is>
          <t>M10</t>
        </is>
      </c>
    </row>
    <row r="109">
      <c r="A109" s="7" t="inlineStr">
        <is>
          <t>2025-09</t>
        </is>
      </c>
      <c r="B109" s="8" t="n">
        <v>3138</v>
      </c>
      <c r="C109" s="9" t="n">
        <v>96.36329828</v>
      </c>
      <c r="D109" s="9" t="n">
        <v>127.6297387</v>
      </c>
      <c r="E109" s="9" t="n">
        <v>176.0163799</v>
      </c>
      <c r="F109" s="9" t="n">
        <v>211.1768738</v>
      </c>
      <c r="G109" s="9" t="n">
        <v>242.067696</v>
      </c>
      <c r="H109" s="9" t="n">
        <v>269.161673</v>
      </c>
      <c r="I109" s="9" t="n">
        <v>304.9139579</v>
      </c>
      <c r="J109" s="9" t="n">
        <v>333.4328203</v>
      </c>
      <c r="K109" s="9" t="n">
        <v>367.4141332</v>
      </c>
      <c r="L109" s="9" t="n">
        <v>390.4247419</v>
      </c>
      <c r="M109" s="9" t="n">
        <v>413.1214436</v>
      </c>
    </row>
    <row r="110">
      <c r="A110" s="7" t="inlineStr">
        <is>
          <t>2025-10</t>
        </is>
      </c>
      <c r="B110" s="8" t="n">
        <v>3079</v>
      </c>
      <c r="C110" s="9" t="n">
        <v>98.37532315999999</v>
      </c>
      <c r="D110" s="9" t="n">
        <v>136.9613348</v>
      </c>
      <c r="E110" s="9" t="n">
        <v>170.8845339</v>
      </c>
      <c r="F110" s="9" t="n">
        <v>207.0625885</v>
      </c>
      <c r="G110" s="9" t="n">
        <v>235.5209354</v>
      </c>
      <c r="H110" s="9" t="n">
        <v>269.0439428</v>
      </c>
      <c r="I110" s="9" t="n">
        <v>300.7489217</v>
      </c>
      <c r="J110" s="9" t="n">
        <v>331.9093732</v>
      </c>
      <c r="K110" s="9" t="n">
        <v>354.1337122</v>
      </c>
      <c r="L110" s="9" t="n">
        <v>379.7870315</v>
      </c>
      <c r="M110" s="9" t="n"/>
    </row>
    <row r="111">
      <c r="A111" s="7" t="inlineStr">
        <is>
          <t>2025-11</t>
        </is>
      </c>
      <c r="B111" s="8" t="n">
        <v>5274</v>
      </c>
      <c r="C111" s="9" t="n">
        <v>107.0124346</v>
      </c>
      <c r="D111" s="9" t="n">
        <v>132.4733637</v>
      </c>
      <c r="E111" s="9" t="n">
        <v>165.7140804</v>
      </c>
      <c r="F111" s="9" t="n">
        <v>201.7902541</v>
      </c>
      <c r="G111" s="9" t="n">
        <v>234.1499279</v>
      </c>
      <c r="H111" s="9" t="n">
        <v>259.4084547</v>
      </c>
      <c r="I111" s="9" t="n">
        <v>294.9881399</v>
      </c>
      <c r="J111" s="9" t="n">
        <v>315.6401403</v>
      </c>
      <c r="K111" s="9" t="n">
        <v>339.0214069</v>
      </c>
      <c r="L111" s="9" t="n"/>
      <c r="M111" s="9" t="n"/>
    </row>
    <row r="112">
      <c r="A112" s="7" t="inlineStr">
        <is>
          <t>2025-12</t>
        </is>
      </c>
      <c r="B112" s="8" t="n">
        <v>3116</v>
      </c>
      <c r="C112" s="9" t="n">
        <v>103.8350546</v>
      </c>
      <c r="D112" s="9" t="n">
        <v>137.7636264</v>
      </c>
      <c r="E112" s="9" t="n">
        <v>172.0159435</v>
      </c>
      <c r="F112" s="9" t="n">
        <v>220.2903498</v>
      </c>
      <c r="G112" s="9" t="n">
        <v>253.4561008</v>
      </c>
      <c r="H112" s="9" t="n">
        <v>292.6629429</v>
      </c>
      <c r="I112" s="9" t="n">
        <v>319.9341175</v>
      </c>
      <c r="J112" s="9" t="n">
        <v>347.1997368</v>
      </c>
      <c r="K112" s="9" t="n"/>
      <c r="L112" s="9" t="n"/>
      <c r="M112" s="9" t="n"/>
    </row>
    <row r="113">
      <c r="A113" s="7" t="inlineStr">
        <is>
          <t>2026-01</t>
        </is>
      </c>
      <c r="B113" s="8" t="n">
        <v>5353</v>
      </c>
      <c r="C113" s="9" t="n">
        <v>97.30717168</v>
      </c>
      <c r="D113" s="9" t="n">
        <v>122.9090473</v>
      </c>
      <c r="E113" s="9" t="n">
        <v>162.372139</v>
      </c>
      <c r="F113" s="9" t="n">
        <v>203.7458322</v>
      </c>
      <c r="G113" s="9" t="n">
        <v>240.1205343</v>
      </c>
      <c r="H113" s="9" t="n">
        <v>261.0600224</v>
      </c>
      <c r="I113" s="9" t="n">
        <v>289.1598375</v>
      </c>
      <c r="J113" s="9" t="n"/>
      <c r="K113" s="9" t="n"/>
      <c r="L113" s="9" t="n"/>
      <c r="M113" s="9" t="n"/>
    </row>
    <row r="114">
      <c r="A114" s="7" t="inlineStr">
        <is>
          <t>2026-02</t>
        </is>
      </c>
      <c r="B114" s="8" t="n">
        <v>5202</v>
      </c>
      <c r="C114" s="9" t="n">
        <v>98.2183737</v>
      </c>
      <c r="D114" s="9" t="n">
        <v>134.623887</v>
      </c>
      <c r="E114" s="9" t="n">
        <v>171.354306</v>
      </c>
      <c r="F114" s="9" t="n">
        <v>216.2170454</v>
      </c>
      <c r="G114" s="9" t="n">
        <v>242.0012438</v>
      </c>
      <c r="H114" s="9" t="n">
        <v>266.321286</v>
      </c>
      <c r="I114" s="9" t="n"/>
      <c r="J114" s="9" t="n"/>
      <c r="K114" s="9" t="n"/>
      <c r="L114" s="9" t="n"/>
      <c r="M114" s="9" t="n"/>
    </row>
    <row r="115">
      <c r="A115" s="7" t="inlineStr">
        <is>
          <t>2026-03</t>
        </is>
      </c>
      <c r="B115" s="8" t="n">
        <v>4608</v>
      </c>
      <c r="C115" s="9" t="n">
        <v>102.5901845</v>
      </c>
      <c r="D115" s="9" t="n">
        <v>141.9545725</v>
      </c>
      <c r="E115" s="9" t="n">
        <v>190.8568641</v>
      </c>
      <c r="F115" s="9" t="n">
        <v>227.717398</v>
      </c>
      <c r="G115" s="9" t="n">
        <v>257.280625</v>
      </c>
      <c r="H115" s="9" t="n"/>
      <c r="I115" s="9" t="n"/>
      <c r="J115" s="9" t="n"/>
      <c r="K115" s="9" t="n"/>
      <c r="L115" s="9" t="n"/>
      <c r="M115" s="9" t="n"/>
    </row>
    <row r="116">
      <c r="A116" s="7" t="inlineStr">
        <is>
          <t>2026-04</t>
        </is>
      </c>
      <c r="B116" s="8" t="n">
        <v>4508</v>
      </c>
      <c r="C116" s="9" t="n">
        <v>104.9280146</v>
      </c>
      <c r="D116" s="9" t="n">
        <v>155.2453949</v>
      </c>
      <c r="E116" s="9" t="n">
        <v>190.2657986</v>
      </c>
      <c r="F116" s="9" t="n">
        <v>230.5558651</v>
      </c>
      <c r="G116" s="9" t="n"/>
      <c r="H116" s="9" t="n"/>
      <c r="I116" s="9" t="n"/>
      <c r="J116" s="9" t="n"/>
      <c r="K116" s="9" t="n"/>
      <c r="L116" s="9" t="n"/>
      <c r="M116" s="9" t="n"/>
    </row>
    <row r="117">
      <c r="A117" s="7" t="inlineStr">
        <is>
          <t>2026-05</t>
        </is>
      </c>
      <c r="B117" s="8" t="n">
        <v>7853</v>
      </c>
      <c r="C117" s="9" t="n">
        <v>102.9923431</v>
      </c>
      <c r="D117" s="9" t="n">
        <v>132.3526805</v>
      </c>
      <c r="E117" s="9" t="n">
        <v>166.261183</v>
      </c>
      <c r="F117" s="9" t="n"/>
      <c r="G117" s="9" t="n"/>
      <c r="H117" s="9" t="n"/>
      <c r="I117" s="9" t="n"/>
      <c r="J117" s="9" t="n"/>
      <c r="K117" s="9" t="n"/>
      <c r="L117" s="9" t="n"/>
      <c r="M117" s="9" t="n"/>
    </row>
    <row r="118">
      <c r="A118" s="7" t="inlineStr">
        <is>
          <t>2026-06</t>
        </is>
      </c>
      <c r="B118" s="8" t="n">
        <v>3492</v>
      </c>
      <c r="C118" s="9" t="n">
        <v>106.4186426</v>
      </c>
      <c r="D118" s="9" t="n">
        <v>146.3630756</v>
      </c>
      <c r="E118" s="9" t="n"/>
      <c r="F118" s="9" t="n"/>
      <c r="G118" s="9" t="n"/>
      <c r="H118" s="9" t="n"/>
      <c r="I118" s="9" t="n"/>
      <c r="J118" s="9" t="n"/>
      <c r="K118" s="9" t="n"/>
      <c r="L118" s="9" t="n"/>
      <c r="M118" s="9" t="n"/>
    </row>
    <row r="119">
      <c r="A119" s="7" t="inlineStr">
        <is>
          <t>2026-07</t>
        </is>
      </c>
      <c r="B119" s="8" t="n">
        <v>4447</v>
      </c>
      <c r="C119" s="9" t="n">
        <v>105.6801372</v>
      </c>
      <c r="D119" s="9" t="n"/>
      <c r="E119" s="9" t="n"/>
      <c r="F119" s="9" t="n"/>
      <c r="G119" s="9" t="n"/>
      <c r="H119" s="9" t="n"/>
      <c r="I119" s="9" t="n"/>
      <c r="J119" s="9" t="n"/>
      <c r="K119" s="9" t="n"/>
      <c r="L119" s="9" t="n"/>
      <c r="M119" s="9" t="n"/>
    </row>
    <row r="121">
      <c r="A121" s="4" t="inlineStr">
        <is>
          <t>% Diff  =  (ours − client) ÷ client      [green ≤2%  ·  amber 2–5%  ·  red &gt;5%]</t>
        </is>
      </c>
    </row>
    <row r="122">
      <c r="A122" s="5" t="inlineStr">
        <is>
          <t>Acquisition Month</t>
        </is>
      </c>
      <c r="B122" s="5" t="inlineStr">
        <is>
          <t>Customers</t>
        </is>
      </c>
      <c r="C122" s="6" t="inlineStr">
        <is>
          <t>M0</t>
        </is>
      </c>
      <c r="D122" s="6" t="inlineStr">
        <is>
          <t>M1</t>
        </is>
      </c>
      <c r="E122" s="6" t="inlineStr">
        <is>
          <t>M2</t>
        </is>
      </c>
      <c r="F122" s="6" t="inlineStr">
        <is>
          <t>M3</t>
        </is>
      </c>
      <c r="G122" s="6" t="inlineStr">
        <is>
          <t>M4</t>
        </is>
      </c>
      <c r="H122" s="6" t="inlineStr">
        <is>
          <t>M5</t>
        </is>
      </c>
      <c r="I122" s="6" t="inlineStr">
        <is>
          <t>M6</t>
        </is>
      </c>
      <c r="J122" s="6" t="inlineStr">
        <is>
          <t>M7</t>
        </is>
      </c>
      <c r="K122" s="6" t="inlineStr">
        <is>
          <t>M8</t>
        </is>
      </c>
      <c r="L122" s="6" t="inlineStr">
        <is>
          <t>M9</t>
        </is>
      </c>
      <c r="M122" s="6" t="inlineStr">
        <is>
          <t>M10</t>
        </is>
      </c>
    </row>
    <row r="123">
      <c r="A123" s="7" t="inlineStr">
        <is>
          <t>2025-09</t>
        </is>
      </c>
      <c r="B123" s="10">
        <f>IFERROR((B95-B109)/B109,"")</f>
        <v/>
      </c>
      <c r="C123" s="10">
        <f>IFERROR((C95-C109)/C109,"")</f>
        <v/>
      </c>
      <c r="D123" s="10">
        <f>IFERROR((D95-D109)/D109,"")</f>
        <v/>
      </c>
      <c r="E123" s="10">
        <f>IFERROR((E95-E109)/E109,"")</f>
        <v/>
      </c>
      <c r="F123" s="10">
        <f>IFERROR((F95-F109)/F109,"")</f>
        <v/>
      </c>
      <c r="G123" s="10">
        <f>IFERROR((G95-G109)/G109,"")</f>
        <v/>
      </c>
      <c r="H123" s="10">
        <f>IFERROR((H95-H109)/H109,"")</f>
        <v/>
      </c>
      <c r="I123" s="10">
        <f>IFERROR((I95-I109)/I109,"")</f>
        <v/>
      </c>
      <c r="J123" s="10">
        <f>IFERROR((J95-J109)/J109,"")</f>
        <v/>
      </c>
      <c r="K123" s="10">
        <f>IFERROR((K95-K109)/K109,"")</f>
        <v/>
      </c>
      <c r="L123" s="10">
        <f>IFERROR((L95-L109)/L109,"")</f>
        <v/>
      </c>
      <c r="M123" s="10">
        <f>IFERROR((M95-M109)/M109,"")</f>
        <v/>
      </c>
    </row>
    <row r="124">
      <c r="A124" s="7" t="inlineStr">
        <is>
          <t>2025-10</t>
        </is>
      </c>
      <c r="B124" s="10">
        <f>IFERROR((B96-B110)/B110,"")</f>
        <v/>
      </c>
      <c r="C124" s="10">
        <f>IFERROR((C96-C110)/C110,"")</f>
        <v/>
      </c>
      <c r="D124" s="10">
        <f>IFERROR((D96-D110)/D110,"")</f>
        <v/>
      </c>
      <c r="E124" s="10">
        <f>IFERROR((E96-E110)/E110,"")</f>
        <v/>
      </c>
      <c r="F124" s="10">
        <f>IFERROR((F96-F110)/F110,"")</f>
        <v/>
      </c>
      <c r="G124" s="10">
        <f>IFERROR((G96-G110)/G110,"")</f>
        <v/>
      </c>
      <c r="H124" s="10">
        <f>IFERROR((H96-H110)/H110,"")</f>
        <v/>
      </c>
      <c r="I124" s="10">
        <f>IFERROR((I96-I110)/I110,"")</f>
        <v/>
      </c>
      <c r="J124" s="10">
        <f>IFERROR((J96-J110)/J110,"")</f>
        <v/>
      </c>
      <c r="K124" s="10">
        <f>IFERROR((K96-K110)/K110,"")</f>
        <v/>
      </c>
      <c r="L124" s="10">
        <f>IFERROR((L96-L110)/L110,"")</f>
        <v/>
      </c>
      <c r="M124" s="10">
        <f>IFERROR((M96-M110)/M110,"")</f>
        <v/>
      </c>
    </row>
    <row r="125">
      <c r="A125" s="7" t="inlineStr">
        <is>
          <t>2025-11</t>
        </is>
      </c>
      <c r="B125" s="10">
        <f>IFERROR((B97-B111)/B111,"")</f>
        <v/>
      </c>
      <c r="C125" s="10">
        <f>IFERROR((C97-C111)/C111,"")</f>
        <v/>
      </c>
      <c r="D125" s="10">
        <f>IFERROR((D97-D111)/D111,"")</f>
        <v/>
      </c>
      <c r="E125" s="10">
        <f>IFERROR((E97-E111)/E111,"")</f>
        <v/>
      </c>
      <c r="F125" s="10">
        <f>IFERROR((F97-F111)/F111,"")</f>
        <v/>
      </c>
      <c r="G125" s="10">
        <f>IFERROR((G97-G111)/G111,"")</f>
        <v/>
      </c>
      <c r="H125" s="10">
        <f>IFERROR((H97-H111)/H111,"")</f>
        <v/>
      </c>
      <c r="I125" s="10">
        <f>IFERROR((I97-I111)/I111,"")</f>
        <v/>
      </c>
      <c r="J125" s="10">
        <f>IFERROR((J97-J111)/J111,"")</f>
        <v/>
      </c>
      <c r="K125" s="10">
        <f>IFERROR((K97-K111)/K111,"")</f>
        <v/>
      </c>
      <c r="L125" s="10">
        <f>IFERROR((L97-L111)/L111,"")</f>
        <v/>
      </c>
      <c r="M125" s="10">
        <f>IFERROR((M97-M111)/M111,"")</f>
        <v/>
      </c>
    </row>
    <row r="126">
      <c r="A126" s="7" t="inlineStr">
        <is>
          <t>2025-12</t>
        </is>
      </c>
      <c r="B126" s="10">
        <f>IFERROR((B98-B112)/B112,"")</f>
        <v/>
      </c>
      <c r="C126" s="10">
        <f>IFERROR((C98-C112)/C112,"")</f>
        <v/>
      </c>
      <c r="D126" s="10">
        <f>IFERROR((D98-D112)/D112,"")</f>
        <v/>
      </c>
      <c r="E126" s="10">
        <f>IFERROR((E98-E112)/E112,"")</f>
        <v/>
      </c>
      <c r="F126" s="10">
        <f>IFERROR((F98-F112)/F112,"")</f>
        <v/>
      </c>
      <c r="G126" s="10">
        <f>IFERROR((G98-G112)/G112,"")</f>
        <v/>
      </c>
      <c r="H126" s="10">
        <f>IFERROR((H98-H112)/H112,"")</f>
        <v/>
      </c>
      <c r="I126" s="10">
        <f>IFERROR((I98-I112)/I112,"")</f>
        <v/>
      </c>
      <c r="J126" s="10">
        <f>IFERROR((J98-J112)/J112,"")</f>
        <v/>
      </c>
      <c r="K126" s="10">
        <f>IFERROR((K98-K112)/K112,"")</f>
        <v/>
      </c>
      <c r="L126" s="10">
        <f>IFERROR((L98-L112)/L112,"")</f>
        <v/>
      </c>
      <c r="M126" s="10">
        <f>IFERROR((M98-M112)/M112,"")</f>
        <v/>
      </c>
    </row>
    <row r="127">
      <c r="A127" s="7" t="inlineStr">
        <is>
          <t>2026-01</t>
        </is>
      </c>
      <c r="B127" s="10">
        <f>IFERROR((B99-B113)/B113,"")</f>
        <v/>
      </c>
      <c r="C127" s="10">
        <f>IFERROR((C99-C113)/C113,"")</f>
        <v/>
      </c>
      <c r="D127" s="10">
        <f>IFERROR((D99-D113)/D113,"")</f>
        <v/>
      </c>
      <c r="E127" s="10">
        <f>IFERROR((E99-E113)/E113,"")</f>
        <v/>
      </c>
      <c r="F127" s="10">
        <f>IFERROR((F99-F113)/F113,"")</f>
        <v/>
      </c>
      <c r="G127" s="10">
        <f>IFERROR((G99-G113)/G113,"")</f>
        <v/>
      </c>
      <c r="H127" s="10">
        <f>IFERROR((H99-H113)/H113,"")</f>
        <v/>
      </c>
      <c r="I127" s="10">
        <f>IFERROR((I99-I113)/I113,"")</f>
        <v/>
      </c>
      <c r="J127" s="10">
        <f>IFERROR((J99-J113)/J113,"")</f>
        <v/>
      </c>
      <c r="K127" s="10">
        <f>IFERROR((K99-K113)/K113,"")</f>
        <v/>
      </c>
      <c r="L127" s="10">
        <f>IFERROR((L99-L113)/L113,"")</f>
        <v/>
      </c>
      <c r="M127" s="10">
        <f>IFERROR((M99-M113)/M113,"")</f>
        <v/>
      </c>
    </row>
    <row r="128">
      <c r="A128" s="7" t="inlineStr">
        <is>
          <t>2026-02</t>
        </is>
      </c>
      <c r="B128" s="10">
        <f>IFERROR((B100-B114)/B114,"")</f>
        <v/>
      </c>
      <c r="C128" s="10">
        <f>IFERROR((C100-C114)/C114,"")</f>
        <v/>
      </c>
      <c r="D128" s="10">
        <f>IFERROR((D100-D114)/D114,"")</f>
        <v/>
      </c>
      <c r="E128" s="10">
        <f>IFERROR((E100-E114)/E114,"")</f>
        <v/>
      </c>
      <c r="F128" s="10">
        <f>IFERROR((F100-F114)/F114,"")</f>
        <v/>
      </c>
      <c r="G128" s="10">
        <f>IFERROR((G100-G114)/G114,"")</f>
        <v/>
      </c>
      <c r="H128" s="10">
        <f>IFERROR((H100-H114)/H114,"")</f>
        <v/>
      </c>
      <c r="I128" s="10">
        <f>IFERROR((I100-I114)/I114,"")</f>
        <v/>
      </c>
      <c r="J128" s="10">
        <f>IFERROR((J100-J114)/J114,"")</f>
        <v/>
      </c>
      <c r="K128" s="10">
        <f>IFERROR((K100-K114)/K114,"")</f>
        <v/>
      </c>
      <c r="L128" s="10">
        <f>IFERROR((L100-L114)/L114,"")</f>
        <v/>
      </c>
      <c r="M128" s="10">
        <f>IFERROR((M100-M114)/M114,"")</f>
        <v/>
      </c>
    </row>
    <row r="129">
      <c r="A129" s="7" t="inlineStr">
        <is>
          <t>2026-03</t>
        </is>
      </c>
      <c r="B129" s="10">
        <f>IFERROR((B101-B115)/B115,"")</f>
        <v/>
      </c>
      <c r="C129" s="10">
        <f>IFERROR((C101-C115)/C115,"")</f>
        <v/>
      </c>
      <c r="D129" s="10">
        <f>IFERROR((D101-D115)/D115,"")</f>
        <v/>
      </c>
      <c r="E129" s="10">
        <f>IFERROR((E101-E115)/E115,"")</f>
        <v/>
      </c>
      <c r="F129" s="10">
        <f>IFERROR((F101-F115)/F115,"")</f>
        <v/>
      </c>
      <c r="G129" s="10">
        <f>IFERROR((G101-G115)/G115,"")</f>
        <v/>
      </c>
      <c r="H129" s="10">
        <f>IFERROR((H101-H115)/H115,"")</f>
        <v/>
      </c>
      <c r="I129" s="10">
        <f>IFERROR((I101-I115)/I115,"")</f>
        <v/>
      </c>
      <c r="J129" s="10">
        <f>IFERROR((J101-J115)/J115,"")</f>
        <v/>
      </c>
      <c r="K129" s="10">
        <f>IFERROR((K101-K115)/K115,"")</f>
        <v/>
      </c>
      <c r="L129" s="10">
        <f>IFERROR((L101-L115)/L115,"")</f>
        <v/>
      </c>
      <c r="M129" s="10">
        <f>IFERROR((M101-M115)/M115,"")</f>
        <v/>
      </c>
    </row>
    <row r="130">
      <c r="A130" s="7" t="inlineStr">
        <is>
          <t>2026-04</t>
        </is>
      </c>
      <c r="B130" s="10">
        <f>IFERROR((B102-B116)/B116,"")</f>
        <v/>
      </c>
      <c r="C130" s="10">
        <f>IFERROR((C102-C116)/C116,"")</f>
        <v/>
      </c>
      <c r="D130" s="10">
        <f>IFERROR((D102-D116)/D116,"")</f>
        <v/>
      </c>
      <c r="E130" s="10">
        <f>IFERROR((E102-E116)/E116,"")</f>
        <v/>
      </c>
      <c r="F130" s="10">
        <f>IFERROR((F102-F116)/F116,"")</f>
        <v/>
      </c>
      <c r="G130" s="10">
        <f>IFERROR((G102-G116)/G116,"")</f>
        <v/>
      </c>
      <c r="H130" s="10">
        <f>IFERROR((H102-H116)/H116,"")</f>
        <v/>
      </c>
      <c r="I130" s="10">
        <f>IFERROR((I102-I116)/I116,"")</f>
        <v/>
      </c>
      <c r="J130" s="10">
        <f>IFERROR((J102-J116)/J116,"")</f>
        <v/>
      </c>
      <c r="K130" s="10">
        <f>IFERROR((K102-K116)/K116,"")</f>
        <v/>
      </c>
      <c r="L130" s="10">
        <f>IFERROR((L102-L116)/L116,"")</f>
        <v/>
      </c>
      <c r="M130" s="10">
        <f>IFERROR((M102-M116)/M116,"")</f>
        <v/>
      </c>
    </row>
    <row r="131">
      <c r="A131" s="7" t="inlineStr">
        <is>
          <t>2026-05</t>
        </is>
      </c>
      <c r="B131" s="10">
        <f>IFERROR((B103-B117)/B117,"")</f>
        <v/>
      </c>
      <c r="C131" s="10">
        <f>IFERROR((C103-C117)/C117,"")</f>
        <v/>
      </c>
      <c r="D131" s="10">
        <f>IFERROR((D103-D117)/D117,"")</f>
        <v/>
      </c>
      <c r="E131" s="10">
        <f>IFERROR((E103-E117)/E117,"")</f>
        <v/>
      </c>
      <c r="F131" s="10">
        <f>IFERROR((F103-F117)/F117,"")</f>
        <v/>
      </c>
      <c r="G131" s="10">
        <f>IFERROR((G103-G117)/G117,"")</f>
        <v/>
      </c>
      <c r="H131" s="10">
        <f>IFERROR((H103-H117)/H117,"")</f>
        <v/>
      </c>
      <c r="I131" s="10">
        <f>IFERROR((I103-I117)/I117,"")</f>
        <v/>
      </c>
      <c r="J131" s="10">
        <f>IFERROR((J103-J117)/J117,"")</f>
        <v/>
      </c>
      <c r="K131" s="10">
        <f>IFERROR((K103-K117)/K117,"")</f>
        <v/>
      </c>
      <c r="L131" s="10">
        <f>IFERROR((L103-L117)/L117,"")</f>
        <v/>
      </c>
      <c r="M131" s="10">
        <f>IFERROR((M103-M117)/M117,"")</f>
        <v/>
      </c>
    </row>
    <row r="132">
      <c r="A132" s="7" t="inlineStr">
        <is>
          <t>2026-06</t>
        </is>
      </c>
      <c r="B132" s="10">
        <f>IFERROR((B104-B118)/B118,"")</f>
        <v/>
      </c>
      <c r="C132" s="10">
        <f>IFERROR((C104-C118)/C118,"")</f>
        <v/>
      </c>
      <c r="D132" s="10">
        <f>IFERROR((D104-D118)/D118,"")</f>
        <v/>
      </c>
      <c r="E132" s="10">
        <f>IFERROR((E104-E118)/E118,"")</f>
        <v/>
      </c>
      <c r="F132" s="10">
        <f>IFERROR((F104-F118)/F118,"")</f>
        <v/>
      </c>
      <c r="G132" s="10">
        <f>IFERROR((G104-G118)/G118,"")</f>
        <v/>
      </c>
      <c r="H132" s="10">
        <f>IFERROR((H104-H118)/H118,"")</f>
        <v/>
      </c>
      <c r="I132" s="10">
        <f>IFERROR((I104-I118)/I118,"")</f>
        <v/>
      </c>
      <c r="J132" s="10">
        <f>IFERROR((J104-J118)/J118,"")</f>
        <v/>
      </c>
      <c r="K132" s="10">
        <f>IFERROR((K104-K118)/K118,"")</f>
        <v/>
      </c>
      <c r="L132" s="10">
        <f>IFERROR((L104-L118)/L118,"")</f>
        <v/>
      </c>
      <c r="M132" s="10">
        <f>IFERROR((M104-M118)/M118,"")</f>
        <v/>
      </c>
    </row>
    <row r="133">
      <c r="A133" s="7" t="inlineStr">
        <is>
          <t>2026-07</t>
        </is>
      </c>
      <c r="B133" s="10">
        <f>IFERROR((B105-B119)/B119,"")</f>
        <v/>
      </c>
      <c r="C133" s="10">
        <f>IFERROR((C105-C119)/C119,"")</f>
        <v/>
      </c>
      <c r="D133" s="10">
        <f>IFERROR((D105-D119)/D119,"")</f>
        <v/>
      </c>
      <c r="E133" s="10">
        <f>IFERROR((E105-E119)/E119,"")</f>
        <v/>
      </c>
      <c r="F133" s="10">
        <f>IFERROR((F105-F119)/F119,"")</f>
        <v/>
      </c>
      <c r="G133" s="10">
        <f>IFERROR((G105-G119)/G119,"")</f>
        <v/>
      </c>
      <c r="H133" s="10">
        <f>IFERROR((H105-H119)/H119,"")</f>
        <v/>
      </c>
      <c r="I133" s="10">
        <f>IFERROR((I105-I119)/I119,"")</f>
        <v/>
      </c>
      <c r="J133" s="10">
        <f>IFERROR((J105-J119)/J119,"")</f>
        <v/>
      </c>
      <c r="K133" s="10">
        <f>IFERROR((K105-K119)/K119,"")</f>
        <v/>
      </c>
      <c r="L133" s="10">
        <f>IFERROR((L105-L119)/L119,"")</f>
        <v/>
      </c>
      <c r="M133" s="10">
        <f>IFERROR((M105-M119)/M119,"")</f>
        <v/>
      </c>
    </row>
  </sheetData>
  <conditionalFormatting sqref="B35:M45">
    <cfRule type="expression" priority="1" dxfId="0" stopIfTrue="1">
      <formula>AND(ISNUMBER(B35),ABS(B35)&gt;0.05)</formula>
    </cfRule>
    <cfRule type="expression" priority="2" dxfId="1" stopIfTrue="1">
      <formula>AND(ISNUMBER(B35),ABS(B35)&gt;0.02)</formula>
    </cfRule>
    <cfRule type="expression" priority="3" dxfId="2">
      <formula>ISNUMBER(B35)</formula>
    </cfRule>
  </conditionalFormatting>
  <conditionalFormatting sqref="B79:M89">
    <cfRule type="expression" priority="4" dxfId="0" stopIfTrue="1">
      <formula>AND(ISNUMBER(B79),ABS(B79)&gt;0.05)</formula>
    </cfRule>
    <cfRule type="expression" priority="5" dxfId="1" stopIfTrue="1">
      <formula>AND(ISNUMBER(B79),ABS(B79)&gt;0.02)</formula>
    </cfRule>
    <cfRule type="expression" priority="6" dxfId="2">
      <formula>ISNUMBER(B79)</formula>
    </cfRule>
  </conditionalFormatting>
  <conditionalFormatting sqref="B123:M133">
    <cfRule type="expression" priority="7" dxfId="0" stopIfTrue="1">
      <formula>AND(ISNUMBER(B123),ABS(B123)&gt;0.05)</formula>
    </cfRule>
    <cfRule type="expression" priority="8" dxfId="1" stopIfTrue="1">
      <formula>AND(ISNUMBER(B123),ABS(B123)&gt;0.02)</formula>
    </cfRule>
    <cfRule type="expression" priority="9" dxfId="2">
      <formula>ISNUMBER(B123)</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3"/>
  <sheetViews>
    <sheetView workbookViewId="0">
      <pane xSplit="1" topLeftCell="B1" activePane="topRight" state="frozen"/>
      <selection pane="topRight"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AFTER — attribution fixed, Faire included</t>
        </is>
      </c>
    </row>
    <row r="2">
      <c r="A2" s="2" t="inlineStr">
        <is>
          <t>Sub-acquired customers stay Subscription; OTP-acquired switch at their first subscription order and do not switch back; M0 stays in the acquisition bucket. Faire customers and revenue included.</t>
        </is>
      </c>
    </row>
    <row r="4">
      <c r="A4" s="3" t="inlineStr">
        <is>
          <t>LIFETIME — all customers</t>
        </is>
      </c>
    </row>
    <row r="5">
      <c r="A5" s="4" t="inlineStr">
        <is>
          <t>Cohorts Dashboard (ours)</t>
        </is>
      </c>
    </row>
    <row r="6">
      <c r="A6" s="5" t="inlineStr">
        <is>
          <t>Acquisition Month</t>
        </is>
      </c>
      <c r="B6" s="5" t="inlineStr">
        <is>
          <t>Customers</t>
        </is>
      </c>
      <c r="C6" s="6" t="inlineStr">
        <is>
          <t>M0</t>
        </is>
      </c>
      <c r="D6" s="6" t="inlineStr">
        <is>
          <t>M1</t>
        </is>
      </c>
      <c r="E6" s="6" t="inlineStr">
        <is>
          <t>M2</t>
        </is>
      </c>
      <c r="F6" s="6" t="inlineStr">
        <is>
          <t>M3</t>
        </is>
      </c>
      <c r="G6" s="6" t="inlineStr">
        <is>
          <t>M4</t>
        </is>
      </c>
      <c r="H6" s="6" t="inlineStr">
        <is>
          <t>M5</t>
        </is>
      </c>
      <c r="I6" s="6" t="inlineStr">
        <is>
          <t>M6</t>
        </is>
      </c>
      <c r="J6" s="6" t="inlineStr">
        <is>
          <t>M7</t>
        </is>
      </c>
      <c r="K6" s="6" t="inlineStr">
        <is>
          <t>M8</t>
        </is>
      </c>
      <c r="L6" s="6" t="inlineStr">
        <is>
          <t>M9</t>
        </is>
      </c>
      <c r="M6" s="6" t="inlineStr">
        <is>
          <t>M10</t>
        </is>
      </c>
    </row>
    <row r="7">
      <c r="A7" s="7" t="inlineStr">
        <is>
          <t>2025-09</t>
        </is>
      </c>
      <c r="B7" s="8" t="n">
        <v>7920</v>
      </c>
      <c r="C7" s="9" t="n">
        <v>93.89</v>
      </c>
      <c r="D7" s="9" t="n">
        <v>110.31</v>
      </c>
      <c r="E7" s="9" t="n">
        <v>135.46</v>
      </c>
      <c r="F7" s="9" t="n">
        <v>152.37</v>
      </c>
      <c r="G7" s="9" t="n">
        <v>167.15</v>
      </c>
      <c r="H7" s="9" t="n">
        <v>180.38</v>
      </c>
      <c r="I7" s="9" t="n">
        <v>196.81</v>
      </c>
      <c r="J7" s="9" t="n">
        <v>209.82</v>
      </c>
      <c r="K7" s="9" t="n">
        <v>225.48</v>
      </c>
      <c r="L7" s="9" t="n">
        <v>235.6</v>
      </c>
      <c r="M7" s="9" t="n">
        <v>245.79</v>
      </c>
    </row>
    <row r="8">
      <c r="A8" s="7" t="inlineStr">
        <is>
          <t>2025-10</t>
        </is>
      </c>
      <c r="B8" s="8" t="n">
        <v>7704</v>
      </c>
      <c r="C8" s="9" t="n">
        <v>94.87</v>
      </c>
      <c r="D8" s="9" t="n">
        <v>117.71</v>
      </c>
      <c r="E8" s="9" t="n">
        <v>135.22</v>
      </c>
      <c r="F8" s="9" t="n">
        <v>152.94</v>
      </c>
      <c r="G8" s="9" t="n">
        <v>167.35</v>
      </c>
      <c r="H8" s="9" t="n">
        <v>183.12</v>
      </c>
      <c r="I8" s="9" t="n">
        <v>197.53</v>
      </c>
      <c r="J8" s="9" t="n">
        <v>212.61</v>
      </c>
      <c r="K8" s="9" t="n">
        <v>222.7</v>
      </c>
      <c r="L8" s="9" t="n">
        <v>234.59</v>
      </c>
      <c r="M8" s="9" t="n">
        <v>244.44</v>
      </c>
    </row>
    <row r="9">
      <c r="A9" s="7" t="inlineStr">
        <is>
          <t>2025-11</t>
        </is>
      </c>
      <c r="B9" s="8" t="n">
        <v>11977</v>
      </c>
      <c r="C9" s="9" t="n">
        <v>100.17</v>
      </c>
      <c r="D9" s="9" t="n">
        <v>116.27</v>
      </c>
      <c r="E9" s="9" t="n">
        <v>134.55</v>
      </c>
      <c r="F9" s="9" t="n">
        <v>153.49</v>
      </c>
      <c r="G9" s="9" t="n">
        <v>170.79</v>
      </c>
      <c r="H9" s="9" t="n">
        <v>184.27</v>
      </c>
      <c r="I9" s="9" t="n">
        <v>202.75</v>
      </c>
      <c r="J9" s="9" t="n">
        <v>213.26</v>
      </c>
      <c r="K9" s="9" t="n">
        <v>225.41</v>
      </c>
      <c r="L9" s="9" t="n">
        <v>236.86</v>
      </c>
      <c r="M9" s="9" t="n">
        <v>246.75</v>
      </c>
    </row>
    <row r="10">
      <c r="A10" s="7" t="inlineStr">
        <is>
          <t>2025-12</t>
        </is>
      </c>
      <c r="B10" s="8" t="n">
        <v>9094</v>
      </c>
      <c r="C10" s="9" t="n">
        <v>97.87</v>
      </c>
      <c r="D10" s="9" t="n">
        <v>113.23</v>
      </c>
      <c r="E10" s="9" t="n">
        <v>128.45</v>
      </c>
      <c r="F10" s="9" t="n">
        <v>147.97</v>
      </c>
      <c r="G10" s="9" t="n">
        <v>161.59</v>
      </c>
      <c r="H10" s="9" t="n">
        <v>177.82</v>
      </c>
      <c r="I10" s="9" t="n">
        <v>188.49</v>
      </c>
      <c r="J10" s="9" t="n">
        <v>199.4</v>
      </c>
      <c r="K10" s="9" t="n">
        <v>209.69</v>
      </c>
      <c r="L10" s="9" t="n">
        <v>219.53</v>
      </c>
      <c r="M10" s="9" t="n"/>
    </row>
    <row r="11">
      <c r="A11" s="7" t="inlineStr">
        <is>
          <t>2026-01</t>
        </is>
      </c>
      <c r="B11" s="8" t="n">
        <v>12292</v>
      </c>
      <c r="C11" s="9" t="n">
        <v>93.06</v>
      </c>
      <c r="D11" s="9" t="n">
        <v>107.75</v>
      </c>
      <c r="E11" s="9" t="n">
        <v>128.6</v>
      </c>
      <c r="F11" s="9" t="n">
        <v>149.22</v>
      </c>
      <c r="G11" s="9" t="n">
        <v>168.26</v>
      </c>
      <c r="H11" s="9" t="n">
        <v>178.81</v>
      </c>
      <c r="I11" s="9" t="n">
        <v>192.7</v>
      </c>
      <c r="J11" s="9" t="n">
        <v>202.9</v>
      </c>
      <c r="K11" s="9" t="n">
        <v>212.74</v>
      </c>
      <c r="L11" s="9" t="n"/>
      <c r="M11" s="9" t="n"/>
    </row>
    <row r="12">
      <c r="A12" s="7" t="inlineStr">
        <is>
          <t>2026-02</t>
        </is>
      </c>
      <c r="B12" s="8" t="n">
        <v>11903</v>
      </c>
      <c r="C12" s="9" t="n">
        <v>96.16</v>
      </c>
      <c r="D12" s="9" t="n">
        <v>116.41</v>
      </c>
      <c r="E12" s="9" t="n">
        <v>136.89</v>
      </c>
      <c r="F12" s="9" t="n">
        <v>160.77</v>
      </c>
      <c r="G12" s="9" t="n">
        <v>174.28</v>
      </c>
      <c r="H12" s="9" t="n">
        <v>187.33</v>
      </c>
      <c r="I12" s="9" t="n">
        <v>201.4</v>
      </c>
      <c r="J12" s="9" t="n">
        <v>212.17</v>
      </c>
      <c r="K12" s="9" t="n"/>
      <c r="L12" s="9" t="n"/>
      <c r="M12" s="9" t="n"/>
    </row>
    <row r="13">
      <c r="A13" s="7" t="inlineStr">
        <is>
          <t>2026-03</t>
        </is>
      </c>
      <c r="B13" s="8" t="n">
        <v>11253</v>
      </c>
      <c r="C13" s="9" t="n">
        <v>98.68000000000001</v>
      </c>
      <c r="D13" s="9" t="n">
        <v>120.2</v>
      </c>
      <c r="E13" s="9" t="n">
        <v>146.9</v>
      </c>
      <c r="F13" s="9" t="n">
        <v>165.17</v>
      </c>
      <c r="G13" s="9" t="n">
        <v>180.5</v>
      </c>
      <c r="H13" s="9" t="n">
        <v>194.42</v>
      </c>
      <c r="I13" s="9" t="n">
        <v>207.94</v>
      </c>
      <c r="J13" s="9" t="n"/>
      <c r="K13" s="9" t="n"/>
      <c r="L13" s="9" t="n"/>
      <c r="M13" s="9" t="n"/>
    </row>
    <row r="14">
      <c r="A14" s="7" t="inlineStr">
        <is>
          <t>2026-04</t>
        </is>
      </c>
      <c r="B14" s="8" t="n">
        <v>11190</v>
      </c>
      <c r="C14" s="9" t="n">
        <v>98.81999999999999</v>
      </c>
      <c r="D14" s="9" t="n">
        <v>125.78</v>
      </c>
      <c r="E14" s="9" t="n">
        <v>144.59</v>
      </c>
      <c r="F14" s="9" t="n">
        <v>165.14</v>
      </c>
      <c r="G14" s="9" t="n">
        <v>180.4</v>
      </c>
      <c r="H14" s="9" t="n">
        <v>192.72</v>
      </c>
      <c r="I14" s="9" t="n"/>
      <c r="J14" s="9" t="n"/>
      <c r="K14" s="9" t="n"/>
      <c r="L14" s="9" t="n"/>
      <c r="M14" s="9" t="n"/>
    </row>
    <row r="15">
      <c r="A15" s="7" t="inlineStr">
        <is>
          <t>2026-05</t>
        </is>
      </c>
      <c r="B15" s="8" t="n">
        <v>15975</v>
      </c>
      <c r="C15" s="9" t="n">
        <v>99.53</v>
      </c>
      <c r="D15" s="9" t="n">
        <v>117.06</v>
      </c>
      <c r="E15" s="9" t="n">
        <v>137.15</v>
      </c>
      <c r="F15" s="9" t="n">
        <v>158.23</v>
      </c>
      <c r="G15" s="9" t="n">
        <v>171.73</v>
      </c>
      <c r="H15" s="9" t="n"/>
      <c r="I15" s="9" t="n"/>
      <c r="J15" s="9" t="n"/>
      <c r="K15" s="9" t="n"/>
      <c r="L15" s="9" t="n"/>
      <c r="M15" s="9" t="n"/>
    </row>
    <row r="16">
      <c r="A16" s="7" t="inlineStr">
        <is>
          <t>2026-06</t>
        </is>
      </c>
      <c r="B16" s="8" t="n">
        <v>9018</v>
      </c>
      <c r="C16" s="9" t="n">
        <v>99.54000000000001</v>
      </c>
      <c r="D16" s="9" t="n">
        <v>119.45</v>
      </c>
      <c r="E16" s="9" t="n">
        <v>139.69</v>
      </c>
      <c r="F16" s="9" t="n">
        <v>158.24</v>
      </c>
      <c r="G16" s="9" t="n"/>
      <c r="H16" s="9" t="n"/>
      <c r="I16" s="9" t="n"/>
      <c r="J16" s="9" t="n"/>
      <c r="K16" s="9" t="n"/>
      <c r="L16" s="9" t="n"/>
      <c r="M16" s="9" t="n"/>
    </row>
    <row r="17">
      <c r="A17" s="7" t="inlineStr">
        <is>
          <t>2026-07</t>
        </is>
      </c>
      <c r="B17" s="8" t="n">
        <v>10896</v>
      </c>
      <c r="C17" s="9" t="n">
        <v>102.2</v>
      </c>
      <c r="D17" s="9" t="n">
        <v>121.64</v>
      </c>
      <c r="E17" s="9" t="n">
        <v>141.63</v>
      </c>
      <c r="F17" s="9" t="n"/>
      <c r="G17" s="9" t="n"/>
      <c r="H17" s="9" t="n"/>
      <c r="I17" s="9" t="n"/>
      <c r="J17" s="9" t="n"/>
      <c r="K17" s="9" t="n"/>
      <c r="L17" s="9" t="n"/>
      <c r="M17" s="9" t="n"/>
    </row>
    <row r="19">
      <c r="A19" s="4" t="inlineStr">
        <is>
          <t>Equip LTV analysis (client)</t>
        </is>
      </c>
    </row>
    <row r="20">
      <c r="A20" s="5" t="inlineStr">
        <is>
          <t>Acquisition Month</t>
        </is>
      </c>
      <c r="B20" s="5" t="inlineStr">
        <is>
          <t>Customers</t>
        </is>
      </c>
      <c r="C20" s="6" t="inlineStr">
        <is>
          <t>M0</t>
        </is>
      </c>
      <c r="D20" s="6" t="inlineStr">
        <is>
          <t>M1</t>
        </is>
      </c>
      <c r="E20" s="6" t="inlineStr">
        <is>
          <t>M2</t>
        </is>
      </c>
      <c r="F20" s="6" t="inlineStr">
        <is>
          <t>M3</t>
        </is>
      </c>
      <c r="G20" s="6" t="inlineStr">
        <is>
          <t>M4</t>
        </is>
      </c>
      <c r="H20" s="6" t="inlineStr">
        <is>
          <t>M5</t>
        </is>
      </c>
      <c r="I20" s="6" t="inlineStr">
        <is>
          <t>M6</t>
        </is>
      </c>
      <c r="J20" s="6" t="inlineStr">
        <is>
          <t>M7</t>
        </is>
      </c>
      <c r="K20" s="6" t="inlineStr">
        <is>
          <t>M8</t>
        </is>
      </c>
      <c r="L20" s="6" t="inlineStr">
        <is>
          <t>M9</t>
        </is>
      </c>
      <c r="M20" s="6" t="inlineStr">
        <is>
          <t>M10</t>
        </is>
      </c>
    </row>
    <row r="21">
      <c r="A21" s="7" t="inlineStr">
        <is>
          <t>2025-09</t>
        </is>
      </c>
      <c r="B21" s="8" t="n">
        <v>7945</v>
      </c>
      <c r="C21" s="9" t="n">
        <v>92.88980239</v>
      </c>
      <c r="D21" s="9" t="n">
        <v>109.2581913</v>
      </c>
      <c r="E21" s="9" t="n">
        <v>134.4189805</v>
      </c>
      <c r="F21" s="9" t="n">
        <v>151.228331</v>
      </c>
      <c r="G21" s="9" t="n">
        <v>165.9129616</v>
      </c>
      <c r="H21" s="9" t="n">
        <v>179.0687212</v>
      </c>
      <c r="I21" s="9" t="n">
        <v>195.4255909</v>
      </c>
      <c r="J21" s="9" t="n">
        <v>208.4516224</v>
      </c>
      <c r="K21" s="9" t="n">
        <v>224.0902354</v>
      </c>
      <c r="L21" s="9" t="n">
        <v>234.4451643</v>
      </c>
      <c r="M21" s="9" t="n">
        <v>244.7189037</v>
      </c>
    </row>
    <row r="22">
      <c r="A22" s="7" t="inlineStr">
        <is>
          <t>2025-10</t>
        </is>
      </c>
      <c r="B22" s="8" t="n">
        <v>7757</v>
      </c>
      <c r="C22" s="9" t="n">
        <v>93.58246358</v>
      </c>
      <c r="D22" s="9" t="n">
        <v>116.2646371</v>
      </c>
      <c r="E22" s="9" t="n">
        <v>133.857169</v>
      </c>
      <c r="F22" s="9" t="n">
        <v>151.5381604</v>
      </c>
      <c r="G22" s="9" t="n">
        <v>165.8278484</v>
      </c>
      <c r="H22" s="9" t="n">
        <v>181.5058399</v>
      </c>
      <c r="I22" s="9" t="n">
        <v>195.741877</v>
      </c>
      <c r="J22" s="9" t="n">
        <v>210.6028478</v>
      </c>
      <c r="K22" s="9" t="n">
        <v>220.576157</v>
      </c>
      <c r="L22" s="9" t="n">
        <v>232.4624223</v>
      </c>
      <c r="M22" s="9" t="n"/>
    </row>
    <row r="23">
      <c r="A23" s="7" t="inlineStr">
        <is>
          <t>2025-11</t>
        </is>
      </c>
      <c r="B23" s="8" t="n">
        <v>11950</v>
      </c>
      <c r="C23" s="9" t="n">
        <v>99.84738912</v>
      </c>
      <c r="D23" s="9" t="n">
        <v>115.9622243</v>
      </c>
      <c r="E23" s="9" t="n">
        <v>134.197231</v>
      </c>
      <c r="F23" s="9" t="n">
        <v>153.2141515</v>
      </c>
      <c r="G23" s="9" t="n">
        <v>170.469036</v>
      </c>
      <c r="H23" s="9" t="n">
        <v>183.8624059</v>
      </c>
      <c r="I23" s="9" t="n">
        <v>202.3255531</v>
      </c>
      <c r="J23" s="9" t="n">
        <v>212.7203707</v>
      </c>
      <c r="K23" s="9" t="n">
        <v>224.8946527</v>
      </c>
      <c r="L23" s="9" t="n"/>
      <c r="M23" s="9" t="n"/>
    </row>
    <row r="24">
      <c r="A24" s="7" t="inlineStr">
        <is>
          <t>2025-12</t>
        </is>
      </c>
      <c r="B24" s="8" t="n">
        <v>9056</v>
      </c>
      <c r="C24" s="9" t="n">
        <v>97.8732023</v>
      </c>
      <c r="D24" s="9" t="n">
        <v>113.3810479</v>
      </c>
      <c r="E24" s="9" t="n">
        <v>128.7157906</v>
      </c>
      <c r="F24" s="9" t="n">
        <v>148.3401424</v>
      </c>
      <c r="G24" s="9" t="n">
        <v>162.0841409</v>
      </c>
      <c r="H24" s="9" t="n">
        <v>178.4198333</v>
      </c>
      <c r="I24" s="9" t="n">
        <v>189.097712</v>
      </c>
      <c r="J24" s="9" t="n">
        <v>200.1473609</v>
      </c>
      <c r="K24" s="9" t="n"/>
      <c r="L24" s="9" t="n"/>
      <c r="M24" s="9" t="n"/>
    </row>
    <row r="25">
      <c r="A25" s="7" t="inlineStr">
        <is>
          <t>2026-01</t>
        </is>
      </c>
      <c r="B25" s="8" t="n">
        <v>12255</v>
      </c>
      <c r="C25" s="9" t="n">
        <v>92.98071889000001</v>
      </c>
      <c r="D25" s="9" t="n">
        <v>107.8431677</v>
      </c>
      <c r="E25" s="9" t="n">
        <v>128.9879111</v>
      </c>
      <c r="F25" s="9" t="n">
        <v>149.8797813</v>
      </c>
      <c r="G25" s="9" t="n">
        <v>169.15702</v>
      </c>
      <c r="H25" s="9" t="n">
        <v>180.0422285</v>
      </c>
      <c r="I25" s="9" t="n">
        <v>194.0367311</v>
      </c>
      <c r="J25" s="9" t="n"/>
      <c r="K25" s="9" t="n"/>
      <c r="L25" s="9" t="n"/>
      <c r="M25" s="9" t="n"/>
    </row>
    <row r="26">
      <c r="A26" s="7" t="inlineStr">
        <is>
          <t>2026-02</t>
        </is>
      </c>
      <c r="B26" s="8" t="n">
        <v>11963</v>
      </c>
      <c r="C26" s="9" t="n">
        <v>95.057784</v>
      </c>
      <c r="D26" s="9" t="n">
        <v>115.203714</v>
      </c>
      <c r="E26" s="9" t="n">
        <v>135.327188</v>
      </c>
      <c r="F26" s="9" t="n">
        <v>159.0452428</v>
      </c>
      <c r="G26" s="9" t="n">
        <v>172.4782329</v>
      </c>
      <c r="H26" s="9" t="n">
        <v>185.4053348</v>
      </c>
      <c r="I26" s="9" t="n"/>
      <c r="J26" s="9" t="n"/>
      <c r="K26" s="9" t="n"/>
      <c r="L26" s="9" t="n"/>
      <c r="M26" s="9" t="n"/>
    </row>
    <row r="27">
      <c r="A27" s="7" t="inlineStr">
        <is>
          <t>2026-03</t>
        </is>
      </c>
      <c r="B27" s="8" t="n">
        <v>11207</v>
      </c>
      <c r="C27" s="9" t="n">
        <v>98.34834746</v>
      </c>
      <c r="D27" s="9" t="n">
        <v>120.0648907</v>
      </c>
      <c r="E27" s="9" t="n">
        <v>146.8181056</v>
      </c>
      <c r="F27" s="9" t="n">
        <v>166.4525761</v>
      </c>
      <c r="G27" s="9" t="n">
        <v>182.7494566</v>
      </c>
      <c r="H27" s="9" t="n"/>
      <c r="I27" s="9" t="n"/>
      <c r="J27" s="9" t="n"/>
      <c r="K27" s="9" t="n"/>
      <c r="L27" s="9" t="n"/>
      <c r="M27" s="9" t="n"/>
    </row>
    <row r="28">
      <c r="A28" s="7" t="inlineStr">
        <is>
          <t>2026-04</t>
        </is>
      </c>
      <c r="B28" s="8" t="n">
        <v>11145</v>
      </c>
      <c r="C28" s="9" t="n">
        <v>98.4922297</v>
      </c>
      <c r="D28" s="9" t="n">
        <v>125.6861328</v>
      </c>
      <c r="E28" s="9" t="n">
        <v>143.6859282</v>
      </c>
      <c r="F28" s="9" t="n">
        <v>163.8259417</v>
      </c>
      <c r="G28" s="9" t="n"/>
      <c r="H28" s="9" t="n"/>
      <c r="I28" s="9" t="n"/>
      <c r="J28" s="9" t="n"/>
      <c r="K28" s="9" t="n"/>
      <c r="L28" s="9" t="n"/>
      <c r="M28" s="9" t="n"/>
    </row>
    <row r="29">
      <c r="A29" s="7" t="inlineStr">
        <is>
          <t>2026-05</t>
        </is>
      </c>
      <c r="B29" s="8" t="n">
        <v>15934</v>
      </c>
      <c r="C29" s="9" t="n">
        <v>99.61277143</v>
      </c>
      <c r="D29" s="9" t="n">
        <v>117.2355065</v>
      </c>
      <c r="E29" s="9" t="n">
        <v>139.2069336</v>
      </c>
      <c r="F29" s="9" t="n"/>
      <c r="G29" s="9" t="n"/>
      <c r="H29" s="9" t="n"/>
      <c r="I29" s="9" t="n"/>
      <c r="J29" s="9" t="n"/>
      <c r="K29" s="9" t="n"/>
      <c r="L29" s="9" t="n"/>
      <c r="M29" s="9" t="n"/>
    </row>
    <row r="30">
      <c r="A30" s="7" t="inlineStr">
        <is>
          <t>2026-06</t>
        </is>
      </c>
      <c r="B30" s="8" t="n">
        <v>8978</v>
      </c>
      <c r="C30" s="9" t="n">
        <v>99.66080530000001</v>
      </c>
      <c r="D30" s="9" t="n">
        <v>120.0241412</v>
      </c>
      <c r="E30" s="9" t="n"/>
      <c r="F30" s="9" t="n"/>
      <c r="G30" s="9" t="n"/>
      <c r="H30" s="9" t="n"/>
      <c r="I30" s="9" t="n"/>
      <c r="J30" s="9" t="n"/>
      <c r="K30" s="9" t="n"/>
      <c r="L30" s="9" t="n"/>
      <c r="M30" s="9" t="n"/>
    </row>
    <row r="31">
      <c r="A31" s="7" t="inlineStr">
        <is>
          <t>2026-07</t>
        </is>
      </c>
      <c r="B31" s="8" t="n">
        <v>10832</v>
      </c>
      <c r="C31" s="9" t="n">
        <v>101.9177206</v>
      </c>
      <c r="D31" s="9" t="n"/>
      <c r="E31" s="9" t="n"/>
      <c r="F31" s="9" t="n"/>
      <c r="G31" s="9" t="n"/>
      <c r="H31" s="9" t="n"/>
      <c r="I31" s="9" t="n"/>
      <c r="J31" s="9" t="n"/>
      <c r="K31" s="9" t="n"/>
      <c r="L31" s="9" t="n"/>
      <c r="M31" s="9" t="n"/>
    </row>
    <row r="33">
      <c r="A33" s="4" t="inlineStr">
        <is>
          <t>% Diff  =  (ours − client) ÷ client      [green ≤2%  ·  amber 2–5%  ·  red &gt;5%]</t>
        </is>
      </c>
    </row>
    <row r="34">
      <c r="A34" s="5" t="inlineStr">
        <is>
          <t>Acquisition Month</t>
        </is>
      </c>
      <c r="B34" s="5" t="inlineStr">
        <is>
          <t>Customers</t>
        </is>
      </c>
      <c r="C34" s="6" t="inlineStr">
        <is>
          <t>M0</t>
        </is>
      </c>
      <c r="D34" s="6" t="inlineStr">
        <is>
          <t>M1</t>
        </is>
      </c>
      <c r="E34" s="6" t="inlineStr">
        <is>
          <t>M2</t>
        </is>
      </c>
      <c r="F34" s="6" t="inlineStr">
        <is>
          <t>M3</t>
        </is>
      </c>
      <c r="G34" s="6" t="inlineStr">
        <is>
          <t>M4</t>
        </is>
      </c>
      <c r="H34" s="6" t="inlineStr">
        <is>
          <t>M5</t>
        </is>
      </c>
      <c r="I34" s="6" t="inlineStr">
        <is>
          <t>M6</t>
        </is>
      </c>
      <c r="J34" s="6" t="inlineStr">
        <is>
          <t>M7</t>
        </is>
      </c>
      <c r="K34" s="6" t="inlineStr">
        <is>
          <t>M8</t>
        </is>
      </c>
      <c r="L34" s="6" t="inlineStr">
        <is>
          <t>M9</t>
        </is>
      </c>
      <c r="M34" s="6" t="inlineStr">
        <is>
          <t>M10</t>
        </is>
      </c>
    </row>
    <row r="35">
      <c r="A35" s="7" t="inlineStr">
        <is>
          <t>2025-09</t>
        </is>
      </c>
      <c r="B35" s="10">
        <f>IFERROR((B7-B21)/B21,"")</f>
        <v/>
      </c>
      <c r="C35" s="10">
        <f>IFERROR((C7-C21)/C21,"")</f>
        <v/>
      </c>
      <c r="D35" s="10">
        <f>IFERROR((D7-D21)/D21,"")</f>
        <v/>
      </c>
      <c r="E35" s="10">
        <f>IFERROR((E7-E21)/E21,"")</f>
        <v/>
      </c>
      <c r="F35" s="10">
        <f>IFERROR((F7-F21)/F21,"")</f>
        <v/>
      </c>
      <c r="G35" s="10">
        <f>IFERROR((G7-G21)/G21,"")</f>
        <v/>
      </c>
      <c r="H35" s="10">
        <f>IFERROR((H7-H21)/H21,"")</f>
        <v/>
      </c>
      <c r="I35" s="10">
        <f>IFERROR((I7-I21)/I21,"")</f>
        <v/>
      </c>
      <c r="J35" s="10">
        <f>IFERROR((J7-J21)/J21,"")</f>
        <v/>
      </c>
      <c r="K35" s="10">
        <f>IFERROR((K7-K21)/K21,"")</f>
        <v/>
      </c>
      <c r="L35" s="10">
        <f>IFERROR((L7-L21)/L21,"")</f>
        <v/>
      </c>
      <c r="M35" s="10">
        <f>IFERROR((M7-M21)/M21,"")</f>
        <v/>
      </c>
    </row>
    <row r="36">
      <c r="A36" s="7" t="inlineStr">
        <is>
          <t>2025-10</t>
        </is>
      </c>
      <c r="B36" s="10">
        <f>IFERROR((B8-B22)/B22,"")</f>
        <v/>
      </c>
      <c r="C36" s="10">
        <f>IFERROR((C8-C22)/C22,"")</f>
        <v/>
      </c>
      <c r="D36" s="10">
        <f>IFERROR((D8-D22)/D22,"")</f>
        <v/>
      </c>
      <c r="E36" s="10">
        <f>IFERROR((E8-E22)/E22,"")</f>
        <v/>
      </c>
      <c r="F36" s="10">
        <f>IFERROR((F8-F22)/F22,"")</f>
        <v/>
      </c>
      <c r="G36" s="10">
        <f>IFERROR((G8-G22)/G22,"")</f>
        <v/>
      </c>
      <c r="H36" s="10">
        <f>IFERROR((H8-H22)/H22,"")</f>
        <v/>
      </c>
      <c r="I36" s="10">
        <f>IFERROR((I8-I22)/I22,"")</f>
        <v/>
      </c>
      <c r="J36" s="10">
        <f>IFERROR((J8-J22)/J22,"")</f>
        <v/>
      </c>
      <c r="K36" s="10">
        <f>IFERROR((K8-K22)/K22,"")</f>
        <v/>
      </c>
      <c r="L36" s="10">
        <f>IFERROR((L8-L22)/L22,"")</f>
        <v/>
      </c>
      <c r="M36" s="10">
        <f>IFERROR((M8-M22)/M22,"")</f>
        <v/>
      </c>
    </row>
    <row r="37">
      <c r="A37" s="7" t="inlineStr">
        <is>
          <t>2025-11</t>
        </is>
      </c>
      <c r="B37" s="10">
        <f>IFERROR((B9-B23)/B23,"")</f>
        <v/>
      </c>
      <c r="C37" s="10">
        <f>IFERROR((C9-C23)/C23,"")</f>
        <v/>
      </c>
      <c r="D37" s="10">
        <f>IFERROR((D9-D23)/D23,"")</f>
        <v/>
      </c>
      <c r="E37" s="10">
        <f>IFERROR((E9-E23)/E23,"")</f>
        <v/>
      </c>
      <c r="F37" s="10">
        <f>IFERROR((F9-F23)/F23,"")</f>
        <v/>
      </c>
      <c r="G37" s="10">
        <f>IFERROR((G9-G23)/G23,"")</f>
        <v/>
      </c>
      <c r="H37" s="10">
        <f>IFERROR((H9-H23)/H23,"")</f>
        <v/>
      </c>
      <c r="I37" s="10">
        <f>IFERROR((I9-I23)/I23,"")</f>
        <v/>
      </c>
      <c r="J37" s="10">
        <f>IFERROR((J9-J23)/J23,"")</f>
        <v/>
      </c>
      <c r="K37" s="10">
        <f>IFERROR((K9-K23)/K23,"")</f>
        <v/>
      </c>
      <c r="L37" s="10">
        <f>IFERROR((L9-L23)/L23,"")</f>
        <v/>
      </c>
      <c r="M37" s="10">
        <f>IFERROR((M9-M23)/M23,"")</f>
        <v/>
      </c>
    </row>
    <row r="38">
      <c r="A38" s="7" t="inlineStr">
        <is>
          <t>2025-12</t>
        </is>
      </c>
      <c r="B38" s="10">
        <f>IFERROR((B10-B24)/B24,"")</f>
        <v/>
      </c>
      <c r="C38" s="10">
        <f>IFERROR((C10-C24)/C24,"")</f>
        <v/>
      </c>
      <c r="D38" s="10">
        <f>IFERROR((D10-D24)/D24,"")</f>
        <v/>
      </c>
      <c r="E38" s="10">
        <f>IFERROR((E10-E24)/E24,"")</f>
        <v/>
      </c>
      <c r="F38" s="10">
        <f>IFERROR((F10-F24)/F24,"")</f>
        <v/>
      </c>
      <c r="G38" s="10">
        <f>IFERROR((G10-G24)/G24,"")</f>
        <v/>
      </c>
      <c r="H38" s="10">
        <f>IFERROR((H10-H24)/H24,"")</f>
        <v/>
      </c>
      <c r="I38" s="10">
        <f>IFERROR((I10-I24)/I24,"")</f>
        <v/>
      </c>
      <c r="J38" s="10">
        <f>IFERROR((J10-J24)/J24,"")</f>
        <v/>
      </c>
      <c r="K38" s="10">
        <f>IFERROR((K10-K24)/K24,"")</f>
        <v/>
      </c>
      <c r="L38" s="10">
        <f>IFERROR((L10-L24)/L24,"")</f>
        <v/>
      </c>
      <c r="M38" s="10">
        <f>IFERROR((M10-M24)/M24,"")</f>
        <v/>
      </c>
    </row>
    <row r="39">
      <c r="A39" s="7" t="inlineStr">
        <is>
          <t>2026-01</t>
        </is>
      </c>
      <c r="B39" s="10">
        <f>IFERROR((B11-B25)/B25,"")</f>
        <v/>
      </c>
      <c r="C39" s="10">
        <f>IFERROR((C11-C25)/C25,"")</f>
        <v/>
      </c>
      <c r="D39" s="10">
        <f>IFERROR((D11-D25)/D25,"")</f>
        <v/>
      </c>
      <c r="E39" s="10">
        <f>IFERROR((E11-E25)/E25,"")</f>
        <v/>
      </c>
      <c r="F39" s="10">
        <f>IFERROR((F11-F25)/F25,"")</f>
        <v/>
      </c>
      <c r="G39" s="10">
        <f>IFERROR((G11-G25)/G25,"")</f>
        <v/>
      </c>
      <c r="H39" s="10">
        <f>IFERROR((H11-H25)/H25,"")</f>
        <v/>
      </c>
      <c r="I39" s="10">
        <f>IFERROR((I11-I25)/I25,"")</f>
        <v/>
      </c>
      <c r="J39" s="10">
        <f>IFERROR((J11-J25)/J25,"")</f>
        <v/>
      </c>
      <c r="K39" s="10">
        <f>IFERROR((K11-K25)/K25,"")</f>
        <v/>
      </c>
      <c r="L39" s="10">
        <f>IFERROR((L11-L25)/L25,"")</f>
        <v/>
      </c>
      <c r="M39" s="10">
        <f>IFERROR((M11-M25)/M25,"")</f>
        <v/>
      </c>
    </row>
    <row r="40">
      <c r="A40" s="7" t="inlineStr">
        <is>
          <t>2026-02</t>
        </is>
      </c>
      <c r="B40" s="10">
        <f>IFERROR((B12-B26)/B26,"")</f>
        <v/>
      </c>
      <c r="C40" s="10">
        <f>IFERROR((C12-C26)/C26,"")</f>
        <v/>
      </c>
      <c r="D40" s="10">
        <f>IFERROR((D12-D26)/D26,"")</f>
        <v/>
      </c>
      <c r="E40" s="10">
        <f>IFERROR((E12-E26)/E26,"")</f>
        <v/>
      </c>
      <c r="F40" s="10">
        <f>IFERROR((F12-F26)/F26,"")</f>
        <v/>
      </c>
      <c r="G40" s="10">
        <f>IFERROR((G12-G26)/G26,"")</f>
        <v/>
      </c>
      <c r="H40" s="10">
        <f>IFERROR((H12-H26)/H26,"")</f>
        <v/>
      </c>
      <c r="I40" s="10">
        <f>IFERROR((I12-I26)/I26,"")</f>
        <v/>
      </c>
      <c r="J40" s="10">
        <f>IFERROR((J12-J26)/J26,"")</f>
        <v/>
      </c>
      <c r="K40" s="10">
        <f>IFERROR((K12-K26)/K26,"")</f>
        <v/>
      </c>
      <c r="L40" s="10">
        <f>IFERROR((L12-L26)/L26,"")</f>
        <v/>
      </c>
      <c r="M40" s="10">
        <f>IFERROR((M12-M26)/M26,"")</f>
        <v/>
      </c>
    </row>
    <row r="41">
      <c r="A41" s="7" t="inlineStr">
        <is>
          <t>2026-03</t>
        </is>
      </c>
      <c r="B41" s="10">
        <f>IFERROR((B13-B27)/B27,"")</f>
        <v/>
      </c>
      <c r="C41" s="10">
        <f>IFERROR((C13-C27)/C27,"")</f>
        <v/>
      </c>
      <c r="D41" s="10">
        <f>IFERROR((D13-D27)/D27,"")</f>
        <v/>
      </c>
      <c r="E41" s="10">
        <f>IFERROR((E13-E27)/E27,"")</f>
        <v/>
      </c>
      <c r="F41" s="10">
        <f>IFERROR((F13-F27)/F27,"")</f>
        <v/>
      </c>
      <c r="G41" s="10">
        <f>IFERROR((G13-G27)/G27,"")</f>
        <v/>
      </c>
      <c r="H41" s="10">
        <f>IFERROR((H13-H27)/H27,"")</f>
        <v/>
      </c>
      <c r="I41" s="10">
        <f>IFERROR((I13-I27)/I27,"")</f>
        <v/>
      </c>
      <c r="J41" s="10">
        <f>IFERROR((J13-J27)/J27,"")</f>
        <v/>
      </c>
      <c r="K41" s="10">
        <f>IFERROR((K13-K27)/K27,"")</f>
        <v/>
      </c>
      <c r="L41" s="10">
        <f>IFERROR((L13-L27)/L27,"")</f>
        <v/>
      </c>
      <c r="M41" s="10">
        <f>IFERROR((M13-M27)/M27,"")</f>
        <v/>
      </c>
    </row>
    <row r="42">
      <c r="A42" s="7" t="inlineStr">
        <is>
          <t>2026-04</t>
        </is>
      </c>
      <c r="B42" s="10">
        <f>IFERROR((B14-B28)/B28,"")</f>
        <v/>
      </c>
      <c r="C42" s="10">
        <f>IFERROR((C14-C28)/C28,"")</f>
        <v/>
      </c>
      <c r="D42" s="10">
        <f>IFERROR((D14-D28)/D28,"")</f>
        <v/>
      </c>
      <c r="E42" s="10">
        <f>IFERROR((E14-E28)/E28,"")</f>
        <v/>
      </c>
      <c r="F42" s="10">
        <f>IFERROR((F14-F28)/F28,"")</f>
        <v/>
      </c>
      <c r="G42" s="10">
        <f>IFERROR((G14-G28)/G28,"")</f>
        <v/>
      </c>
      <c r="H42" s="10">
        <f>IFERROR((H14-H28)/H28,"")</f>
        <v/>
      </c>
      <c r="I42" s="10">
        <f>IFERROR((I14-I28)/I28,"")</f>
        <v/>
      </c>
      <c r="J42" s="10">
        <f>IFERROR((J14-J28)/J28,"")</f>
        <v/>
      </c>
      <c r="K42" s="10">
        <f>IFERROR((K14-K28)/K28,"")</f>
        <v/>
      </c>
      <c r="L42" s="10">
        <f>IFERROR((L14-L28)/L28,"")</f>
        <v/>
      </c>
      <c r="M42" s="10">
        <f>IFERROR((M14-M28)/M28,"")</f>
        <v/>
      </c>
    </row>
    <row r="43">
      <c r="A43" s="7" t="inlineStr">
        <is>
          <t>2026-05</t>
        </is>
      </c>
      <c r="B43" s="10">
        <f>IFERROR((B15-B29)/B29,"")</f>
        <v/>
      </c>
      <c r="C43" s="10">
        <f>IFERROR((C15-C29)/C29,"")</f>
        <v/>
      </c>
      <c r="D43" s="10">
        <f>IFERROR((D15-D29)/D29,"")</f>
        <v/>
      </c>
      <c r="E43" s="10">
        <f>IFERROR((E15-E29)/E29,"")</f>
        <v/>
      </c>
      <c r="F43" s="10">
        <f>IFERROR((F15-F29)/F29,"")</f>
        <v/>
      </c>
      <c r="G43" s="10">
        <f>IFERROR((G15-G29)/G29,"")</f>
        <v/>
      </c>
      <c r="H43" s="10">
        <f>IFERROR((H15-H29)/H29,"")</f>
        <v/>
      </c>
      <c r="I43" s="10">
        <f>IFERROR((I15-I29)/I29,"")</f>
        <v/>
      </c>
      <c r="J43" s="10">
        <f>IFERROR((J15-J29)/J29,"")</f>
        <v/>
      </c>
      <c r="K43" s="10">
        <f>IFERROR((K15-K29)/K29,"")</f>
        <v/>
      </c>
      <c r="L43" s="10">
        <f>IFERROR((L15-L29)/L29,"")</f>
        <v/>
      </c>
      <c r="M43" s="10">
        <f>IFERROR((M15-M29)/M29,"")</f>
        <v/>
      </c>
    </row>
    <row r="44">
      <c r="A44" s="7" t="inlineStr">
        <is>
          <t>2026-06</t>
        </is>
      </c>
      <c r="B44" s="10">
        <f>IFERROR((B16-B30)/B30,"")</f>
        <v/>
      </c>
      <c r="C44" s="10">
        <f>IFERROR((C16-C30)/C30,"")</f>
        <v/>
      </c>
      <c r="D44" s="10">
        <f>IFERROR((D16-D30)/D30,"")</f>
        <v/>
      </c>
      <c r="E44" s="10">
        <f>IFERROR((E16-E30)/E30,"")</f>
        <v/>
      </c>
      <c r="F44" s="10">
        <f>IFERROR((F16-F30)/F30,"")</f>
        <v/>
      </c>
      <c r="G44" s="10">
        <f>IFERROR((G16-G30)/G30,"")</f>
        <v/>
      </c>
      <c r="H44" s="10">
        <f>IFERROR((H16-H30)/H30,"")</f>
        <v/>
      </c>
      <c r="I44" s="10">
        <f>IFERROR((I16-I30)/I30,"")</f>
        <v/>
      </c>
      <c r="J44" s="10">
        <f>IFERROR((J16-J30)/J30,"")</f>
        <v/>
      </c>
      <c r="K44" s="10">
        <f>IFERROR((K16-K30)/K30,"")</f>
        <v/>
      </c>
      <c r="L44" s="10">
        <f>IFERROR((L16-L30)/L30,"")</f>
        <v/>
      </c>
      <c r="M44" s="10">
        <f>IFERROR((M16-M30)/M30,"")</f>
        <v/>
      </c>
    </row>
    <row r="45">
      <c r="A45" s="7" t="inlineStr">
        <is>
          <t>2026-07</t>
        </is>
      </c>
      <c r="B45" s="10">
        <f>IFERROR((B17-B31)/B31,"")</f>
        <v/>
      </c>
      <c r="C45" s="10">
        <f>IFERROR((C17-C31)/C31,"")</f>
        <v/>
      </c>
      <c r="D45" s="10">
        <f>IFERROR((D17-D31)/D31,"")</f>
        <v/>
      </c>
      <c r="E45" s="10">
        <f>IFERROR((E17-E31)/E31,"")</f>
        <v/>
      </c>
      <c r="F45" s="10">
        <f>IFERROR((F17-F31)/F31,"")</f>
        <v/>
      </c>
      <c r="G45" s="10">
        <f>IFERROR((G17-G31)/G31,"")</f>
        <v/>
      </c>
      <c r="H45" s="10">
        <f>IFERROR((H17-H31)/H31,"")</f>
        <v/>
      </c>
      <c r="I45" s="10">
        <f>IFERROR((I17-I31)/I31,"")</f>
        <v/>
      </c>
      <c r="J45" s="10">
        <f>IFERROR((J17-J31)/J31,"")</f>
        <v/>
      </c>
      <c r="K45" s="10">
        <f>IFERROR((K17-K31)/K31,"")</f>
        <v/>
      </c>
      <c r="L45" s="10">
        <f>IFERROR((L17-L31)/L31,"")</f>
        <v/>
      </c>
      <c r="M45" s="10">
        <f>IFERROR((M17-M31)/M31,"")</f>
        <v/>
      </c>
    </row>
    <row r="48">
      <c r="A48" s="3" t="inlineStr">
        <is>
          <t>ACQUIRED ON OTP</t>
        </is>
      </c>
    </row>
    <row r="49">
      <c r="A49" s="4" t="inlineStr">
        <is>
          <t>Cohorts Dashboard (ours)</t>
        </is>
      </c>
    </row>
    <row r="50">
      <c r="A50" s="5" t="inlineStr">
        <is>
          <t>Acquisition Month</t>
        </is>
      </c>
      <c r="B50" s="5" t="inlineStr">
        <is>
          <t>Customers</t>
        </is>
      </c>
      <c r="C50" s="6" t="inlineStr">
        <is>
          <t>M0</t>
        </is>
      </c>
      <c r="D50" s="6" t="inlineStr">
        <is>
          <t>M1</t>
        </is>
      </c>
      <c r="E50" s="6" t="inlineStr">
        <is>
          <t>M2</t>
        </is>
      </c>
      <c r="F50" s="6" t="inlineStr">
        <is>
          <t>M3</t>
        </is>
      </c>
      <c r="G50" s="6" t="inlineStr">
        <is>
          <t>M4</t>
        </is>
      </c>
      <c r="H50" s="6" t="inlineStr">
        <is>
          <t>M5</t>
        </is>
      </c>
      <c r="I50" s="6" t="inlineStr">
        <is>
          <t>M6</t>
        </is>
      </c>
      <c r="J50" s="6" t="inlineStr">
        <is>
          <t>M7</t>
        </is>
      </c>
      <c r="K50" s="6" t="inlineStr">
        <is>
          <t>M8</t>
        </is>
      </c>
      <c r="L50" s="6" t="inlineStr">
        <is>
          <t>M9</t>
        </is>
      </c>
      <c r="M50" s="6" t="inlineStr">
        <is>
          <t>M10</t>
        </is>
      </c>
    </row>
    <row r="51">
      <c r="A51" s="7" t="inlineStr">
        <is>
          <t>2025-09</t>
        </is>
      </c>
      <c r="B51" s="8" t="n">
        <v>4767</v>
      </c>
      <c r="C51" s="9" t="n">
        <v>92.5</v>
      </c>
      <c r="D51" s="9" t="n">
        <v>99.09</v>
      </c>
      <c r="E51" s="9" t="n">
        <v>109.11</v>
      </c>
      <c r="F51" s="9" t="n">
        <v>114</v>
      </c>
      <c r="G51" s="9" t="n">
        <v>118.19</v>
      </c>
      <c r="H51" s="9" t="n">
        <v>122.36</v>
      </c>
      <c r="I51" s="9" t="n">
        <v>126.09</v>
      </c>
      <c r="J51" s="9" t="n">
        <v>128.95</v>
      </c>
      <c r="K51" s="9" t="n">
        <v>132.72</v>
      </c>
      <c r="L51" s="9" t="n">
        <v>134.62</v>
      </c>
      <c r="M51" s="9" t="n">
        <v>136.51</v>
      </c>
    </row>
    <row r="52">
      <c r="A52" s="7" t="inlineStr">
        <is>
          <t>2025-10</t>
        </is>
      </c>
      <c r="B52" s="8" t="n">
        <v>4641</v>
      </c>
      <c r="C52" s="9" t="n">
        <v>93.03</v>
      </c>
      <c r="D52" s="9" t="n">
        <v>104.97</v>
      </c>
      <c r="E52" s="9" t="n">
        <v>111.49</v>
      </c>
      <c r="F52" s="9" t="n">
        <v>116.88</v>
      </c>
      <c r="G52" s="9" t="n">
        <v>121.81</v>
      </c>
      <c r="H52" s="9" t="n">
        <v>125.77</v>
      </c>
      <c r="I52" s="9" t="n">
        <v>128.67</v>
      </c>
      <c r="J52" s="9" t="n">
        <v>133.07</v>
      </c>
      <c r="K52" s="9" t="n">
        <v>135.04</v>
      </c>
      <c r="L52" s="9" t="n">
        <v>137.82</v>
      </c>
      <c r="M52" s="9" t="n">
        <v>140.29</v>
      </c>
    </row>
    <row r="53">
      <c r="A53" s="7" t="inlineStr">
        <is>
          <t>2025-11</t>
        </is>
      </c>
      <c r="B53" s="8" t="n">
        <v>6704</v>
      </c>
      <c r="C53" s="9" t="n">
        <v>95.95</v>
      </c>
      <c r="D53" s="9" t="n">
        <v>104.52</v>
      </c>
      <c r="E53" s="9" t="n">
        <v>110.88</v>
      </c>
      <c r="F53" s="9" t="n">
        <v>116.48</v>
      </c>
      <c r="G53" s="9" t="n">
        <v>121.89</v>
      </c>
      <c r="H53" s="9" t="n">
        <v>126.03</v>
      </c>
      <c r="I53" s="9" t="n">
        <v>131.16</v>
      </c>
      <c r="J53" s="9" t="n">
        <v>133.73</v>
      </c>
      <c r="K53" s="9" t="n">
        <v>137.16</v>
      </c>
      <c r="L53" s="9" t="n">
        <v>140.05</v>
      </c>
      <c r="M53" s="9" t="n">
        <v>142.26</v>
      </c>
    </row>
    <row r="54">
      <c r="A54" s="7" t="inlineStr">
        <is>
          <t>2025-12</t>
        </is>
      </c>
      <c r="B54" s="8" t="n">
        <v>5956</v>
      </c>
      <c r="C54" s="9" t="n">
        <v>95.42</v>
      </c>
      <c r="D54" s="9" t="n">
        <v>101.16</v>
      </c>
      <c r="E54" s="9" t="n">
        <v>106.65</v>
      </c>
      <c r="F54" s="9" t="n">
        <v>111.27</v>
      </c>
      <c r="G54" s="9" t="n">
        <v>114.8</v>
      </c>
      <c r="H54" s="9" t="n">
        <v>119.25</v>
      </c>
      <c r="I54" s="9" t="n">
        <v>121.3</v>
      </c>
      <c r="J54" s="9" t="n">
        <v>123.73</v>
      </c>
      <c r="K54" s="9" t="n">
        <v>125.84</v>
      </c>
      <c r="L54" s="9" t="n">
        <v>127.8</v>
      </c>
      <c r="M54" s="9" t="n"/>
    </row>
    <row r="55">
      <c r="A55" s="7" t="inlineStr">
        <is>
          <t>2026-01</t>
        </is>
      </c>
      <c r="B55" s="8" t="n">
        <v>6929</v>
      </c>
      <c r="C55" s="9" t="n">
        <v>90.53</v>
      </c>
      <c r="D55" s="9" t="n">
        <v>96.95999999999999</v>
      </c>
      <c r="E55" s="9" t="n">
        <v>103.47</v>
      </c>
      <c r="F55" s="9" t="n">
        <v>108.09</v>
      </c>
      <c r="G55" s="9" t="n">
        <v>113.68</v>
      </c>
      <c r="H55" s="9" t="n">
        <v>116.25</v>
      </c>
      <c r="I55" s="9" t="n">
        <v>119.12</v>
      </c>
      <c r="J55" s="9" t="n">
        <v>121.65</v>
      </c>
      <c r="K55" s="9" t="n">
        <v>124.11</v>
      </c>
      <c r="L55" s="9" t="n"/>
      <c r="M55" s="9" t="n"/>
    </row>
    <row r="56">
      <c r="A56" s="7" t="inlineStr">
        <is>
          <t>2026-02</t>
        </is>
      </c>
      <c r="B56" s="8" t="n">
        <v>6711</v>
      </c>
      <c r="C56" s="9" t="n">
        <v>95.13</v>
      </c>
      <c r="D56" s="9" t="n">
        <v>102.95</v>
      </c>
      <c r="E56" s="9" t="n">
        <v>110.7</v>
      </c>
      <c r="F56" s="9" t="n">
        <v>118.2</v>
      </c>
      <c r="G56" s="9" t="n">
        <v>122.2</v>
      </c>
      <c r="H56" s="9" t="n">
        <v>126.47</v>
      </c>
      <c r="I56" s="9" t="n">
        <v>129.96</v>
      </c>
      <c r="J56" s="9" t="n">
        <v>132.93</v>
      </c>
      <c r="K56" s="9" t="n"/>
      <c r="L56" s="9" t="n"/>
      <c r="M56" s="9" t="n"/>
    </row>
    <row r="57">
      <c r="A57" s="7" t="inlineStr">
        <is>
          <t>2026-03</t>
        </is>
      </c>
      <c r="B57" s="8" t="n">
        <v>6676</v>
      </c>
      <c r="C57" s="9" t="n">
        <v>97.08</v>
      </c>
      <c r="D57" s="9" t="n">
        <v>106.29</v>
      </c>
      <c r="E57" s="9" t="n">
        <v>117.77</v>
      </c>
      <c r="F57" s="9" t="n">
        <v>123.24</v>
      </c>
      <c r="G57" s="9" t="n">
        <v>128.78</v>
      </c>
      <c r="H57" s="9" t="n">
        <v>133.62</v>
      </c>
      <c r="I57" s="9" t="n">
        <v>138.03</v>
      </c>
      <c r="J57" s="9" t="n"/>
      <c r="K57" s="9" t="n"/>
      <c r="L57" s="9" t="n"/>
      <c r="M57" s="9" t="n"/>
    </row>
    <row r="58">
      <c r="A58" s="7" t="inlineStr">
        <is>
          <t>2026-04</t>
        </is>
      </c>
      <c r="B58" s="8" t="n">
        <v>6712</v>
      </c>
      <c r="C58" s="9" t="n">
        <v>95.77</v>
      </c>
      <c r="D58" s="9" t="n">
        <v>107.47</v>
      </c>
      <c r="E58" s="9" t="n">
        <v>115.44</v>
      </c>
      <c r="F58" s="9" t="n">
        <v>122.78</v>
      </c>
      <c r="G58" s="9" t="n">
        <v>127.75</v>
      </c>
      <c r="H58" s="9" t="n">
        <v>131.83</v>
      </c>
      <c r="I58" s="9" t="n"/>
      <c r="J58" s="9" t="n"/>
      <c r="K58" s="9" t="n"/>
      <c r="L58" s="9" t="n"/>
      <c r="M58" s="9" t="n"/>
    </row>
    <row r="59">
      <c r="A59" s="7" t="inlineStr">
        <is>
          <t>2026-05</t>
        </is>
      </c>
      <c r="B59" s="8" t="n">
        <v>8210</v>
      </c>
      <c r="C59" s="9" t="n">
        <v>97.59</v>
      </c>
      <c r="D59" s="9" t="n">
        <v>103.69</v>
      </c>
      <c r="E59" s="9" t="n">
        <v>110.47</v>
      </c>
      <c r="F59" s="9" t="n">
        <v>116.54</v>
      </c>
      <c r="G59" s="9" t="n">
        <v>121.49</v>
      </c>
      <c r="H59" s="9" t="n"/>
      <c r="I59" s="9" t="n"/>
      <c r="J59" s="9" t="n"/>
      <c r="K59" s="9" t="n"/>
      <c r="L59" s="9" t="n"/>
      <c r="M59" s="9" t="n"/>
    </row>
    <row r="60">
      <c r="A60" s="7" t="inlineStr">
        <is>
          <t>2026-06</t>
        </is>
      </c>
      <c r="B60" s="8" t="n">
        <v>5559</v>
      </c>
      <c r="C60" s="9" t="n">
        <v>96.39</v>
      </c>
      <c r="D60" s="9" t="n">
        <v>103.76</v>
      </c>
      <c r="E60" s="9" t="n">
        <v>111.51</v>
      </c>
      <c r="F60" s="9" t="n">
        <v>117.56</v>
      </c>
      <c r="G60" s="9" t="n"/>
      <c r="H60" s="9" t="n"/>
      <c r="I60" s="9" t="n"/>
      <c r="J60" s="9" t="n"/>
      <c r="K60" s="9" t="n"/>
      <c r="L60" s="9" t="n"/>
      <c r="M60" s="9" t="n"/>
    </row>
    <row r="61">
      <c r="A61" s="7" t="inlineStr">
        <is>
          <t>2026-07</t>
        </is>
      </c>
      <c r="B61" s="8" t="n">
        <v>6459</v>
      </c>
      <c r="C61" s="9" t="n">
        <v>100.72</v>
      </c>
      <c r="D61" s="9" t="n">
        <v>108.97</v>
      </c>
      <c r="E61" s="9" t="n">
        <v>117.7</v>
      </c>
      <c r="F61" s="9" t="n"/>
      <c r="G61" s="9" t="n"/>
      <c r="H61" s="9" t="n"/>
      <c r="I61" s="9" t="n"/>
      <c r="J61" s="9" t="n"/>
      <c r="K61" s="9" t="n"/>
      <c r="L61" s="9" t="n"/>
      <c r="M61" s="9" t="n"/>
    </row>
    <row r="63">
      <c r="A63" s="4" t="inlineStr">
        <is>
          <t>Equip LTV analysis (client)</t>
        </is>
      </c>
    </row>
    <row r="64">
      <c r="A64" s="5" t="inlineStr">
        <is>
          <t>Acquisition Month</t>
        </is>
      </c>
      <c r="B64" s="5" t="inlineStr">
        <is>
          <t>Customers</t>
        </is>
      </c>
      <c r="C64" s="6" t="inlineStr">
        <is>
          <t>M0</t>
        </is>
      </c>
      <c r="D64" s="6" t="inlineStr">
        <is>
          <t>M1</t>
        </is>
      </c>
      <c r="E64" s="6" t="inlineStr">
        <is>
          <t>M2</t>
        </is>
      </c>
      <c r="F64" s="6" t="inlineStr">
        <is>
          <t>M3</t>
        </is>
      </c>
      <c r="G64" s="6" t="inlineStr">
        <is>
          <t>M4</t>
        </is>
      </c>
      <c r="H64" s="6" t="inlineStr">
        <is>
          <t>M5</t>
        </is>
      </c>
      <c r="I64" s="6" t="inlineStr">
        <is>
          <t>M6</t>
        </is>
      </c>
      <c r="J64" s="6" t="inlineStr">
        <is>
          <t>M7</t>
        </is>
      </c>
      <c r="K64" s="6" t="inlineStr">
        <is>
          <t>M8</t>
        </is>
      </c>
      <c r="L64" s="6" t="inlineStr">
        <is>
          <t>M9</t>
        </is>
      </c>
      <c r="M64" s="6" t="inlineStr">
        <is>
          <t>M10</t>
        </is>
      </c>
    </row>
    <row r="65">
      <c r="A65" s="7" t="inlineStr">
        <is>
          <t>2025-09</t>
        </is>
      </c>
      <c r="B65" s="8" t="n">
        <v>4807</v>
      </c>
      <c r="C65" s="9" t="n">
        <v>90.62231121000001</v>
      </c>
      <c r="D65" s="9" t="n">
        <v>97.26528188</v>
      </c>
      <c r="E65" s="9" t="n">
        <v>107.2642813</v>
      </c>
      <c r="F65" s="9" t="n">
        <v>112.094042</v>
      </c>
      <c r="G65" s="9" t="n">
        <v>116.1993031</v>
      </c>
      <c r="H65" s="9" t="n">
        <v>120.2562222</v>
      </c>
      <c r="I65" s="9" t="n">
        <v>123.9518036</v>
      </c>
      <c r="J65" s="9" t="n">
        <v>126.864146</v>
      </c>
      <c r="K65" s="9" t="n">
        <v>130.5286811</v>
      </c>
      <c r="L65" s="9" t="n">
        <v>132.6220075</v>
      </c>
      <c r="M65" s="9" t="n">
        <v>134.786062</v>
      </c>
    </row>
    <row r="66">
      <c r="A66" s="7" t="inlineStr">
        <is>
          <t>2025-10</t>
        </is>
      </c>
      <c r="B66" s="8" t="n">
        <v>4678</v>
      </c>
      <c r="C66" s="9" t="n">
        <v>90.42786447</v>
      </c>
      <c r="D66" s="9" t="n">
        <v>102.6423343</v>
      </c>
      <c r="E66" s="9" t="n">
        <v>109.4862292</v>
      </c>
      <c r="F66" s="9" t="n">
        <v>114.9926892</v>
      </c>
      <c r="G66" s="9" t="n">
        <v>119.9567465</v>
      </c>
      <c r="H66" s="9" t="n">
        <v>123.8893758</v>
      </c>
      <c r="I66" s="9" t="n">
        <v>126.627578</v>
      </c>
      <c r="J66" s="9" t="n">
        <v>130.7604382</v>
      </c>
      <c r="K66" s="9" t="n">
        <v>132.6702758</v>
      </c>
      <c r="L66" s="9" t="n">
        <v>135.4952416</v>
      </c>
      <c r="M66" s="9" t="n"/>
    </row>
    <row r="67">
      <c r="A67" s="7" t="inlineStr">
        <is>
          <t>2025-11</t>
        </is>
      </c>
      <c r="B67" s="8" t="n">
        <v>6676</v>
      </c>
      <c r="C67" s="9" t="n">
        <v>94.18704614000001</v>
      </c>
      <c r="D67" s="9" t="n">
        <v>102.9185231</v>
      </c>
      <c r="E67" s="9" t="n">
        <v>109.2991087</v>
      </c>
      <c r="F67" s="9" t="n">
        <v>114.8393214</v>
      </c>
      <c r="G67" s="9" t="n">
        <v>120.1615129</v>
      </c>
      <c r="H67" s="9" t="n">
        <v>124.1814799</v>
      </c>
      <c r="I67" s="9" t="n">
        <v>129.1226648</v>
      </c>
      <c r="J67" s="9" t="n">
        <v>131.4143694</v>
      </c>
      <c r="K67" s="9" t="n">
        <v>134.7352007</v>
      </c>
      <c r="L67" s="9" t="n"/>
      <c r="M67" s="9" t="n"/>
    </row>
    <row r="68">
      <c r="A68" s="7" t="inlineStr">
        <is>
          <t>2025-12</t>
        </is>
      </c>
      <c r="B68" s="8" t="n">
        <v>5940</v>
      </c>
      <c r="C68" s="9" t="n">
        <v>94.74573906000001</v>
      </c>
      <c r="D68" s="9" t="n">
        <v>100.5904562</v>
      </c>
      <c r="E68" s="9" t="n">
        <v>106.0014343</v>
      </c>
      <c r="F68" s="9" t="n">
        <v>110.5965657</v>
      </c>
      <c r="G68" s="9" t="n">
        <v>114.1523182</v>
      </c>
      <c r="H68" s="9" t="n">
        <v>118.4902828</v>
      </c>
      <c r="I68" s="9" t="n">
        <v>120.463665</v>
      </c>
      <c r="J68" s="9" t="n">
        <v>123.0067542</v>
      </c>
      <c r="K68" s="9" t="n"/>
      <c r="L68" s="9" t="n"/>
      <c r="M68" s="9" t="n"/>
    </row>
    <row r="69">
      <c r="A69" s="7" t="inlineStr">
        <is>
          <t>2026-01</t>
        </is>
      </c>
      <c r="B69" s="8" t="n">
        <v>6902</v>
      </c>
      <c r="C69" s="9" t="n">
        <v>89.62524196</v>
      </c>
      <c r="D69" s="9" t="n">
        <v>96.15848884</v>
      </c>
      <c r="E69" s="9" t="n">
        <v>103.0960287</v>
      </c>
      <c r="F69" s="9" t="n">
        <v>108.1027644</v>
      </c>
      <c r="G69" s="9" t="n">
        <v>114.1196841</v>
      </c>
      <c r="H69" s="9" t="n">
        <v>117.2070719</v>
      </c>
      <c r="I69" s="9" t="n">
        <v>120.261885</v>
      </c>
      <c r="J69" s="9" t="n"/>
      <c r="K69" s="9" t="n"/>
      <c r="L69" s="9" t="n"/>
      <c r="M69" s="9" t="n"/>
    </row>
    <row r="70">
      <c r="A70" s="7" t="inlineStr">
        <is>
          <t>2026-02</t>
        </is>
      </c>
      <c r="B70" s="8" t="n">
        <v>6761</v>
      </c>
      <c r="C70" s="9" t="n">
        <v>92.6259858</v>
      </c>
      <c r="D70" s="9" t="n">
        <v>100.2615841</v>
      </c>
      <c r="E70" s="9" t="n">
        <v>107.6074619</v>
      </c>
      <c r="F70" s="9" t="n">
        <v>115.0565257</v>
      </c>
      <c r="G70" s="9" t="n">
        <v>118.9863378</v>
      </c>
      <c r="H70" s="9" t="n">
        <v>123.1475654</v>
      </c>
      <c r="I70" s="9" t="n"/>
      <c r="J70" s="9" t="n"/>
      <c r="K70" s="9" t="n"/>
      <c r="L70" s="9" t="n"/>
      <c r="M70" s="9" t="n"/>
    </row>
    <row r="71">
      <c r="A71" s="7" t="inlineStr">
        <is>
          <t>2026-03</t>
        </is>
      </c>
      <c r="B71" s="8" t="n">
        <v>6599</v>
      </c>
      <c r="C71" s="9" t="n">
        <v>95.3863252</v>
      </c>
      <c r="D71" s="9" t="n">
        <v>104.7795969</v>
      </c>
      <c r="E71" s="9" t="n">
        <v>116.0663858</v>
      </c>
      <c r="F71" s="9" t="n">
        <v>123.6721094</v>
      </c>
      <c r="G71" s="9" t="n">
        <v>130.7052644</v>
      </c>
      <c r="H71" s="9" t="n"/>
      <c r="I71" s="9" t="n"/>
      <c r="J71" s="9" t="n"/>
      <c r="K71" s="9" t="n"/>
      <c r="L71" s="9" t="n"/>
      <c r="M71" s="9" t="n"/>
    </row>
    <row r="72">
      <c r="A72" s="7" t="inlineStr">
        <is>
          <t>2026-04</t>
        </is>
      </c>
      <c r="B72" s="8" t="n">
        <v>6637</v>
      </c>
      <c r="C72" s="9" t="n">
        <v>94.12089949999999</v>
      </c>
      <c r="D72" s="9" t="n">
        <v>105.6088157</v>
      </c>
      <c r="E72" s="9" t="n">
        <v>112.0478303</v>
      </c>
      <c r="F72" s="9" t="n">
        <v>118.5014736</v>
      </c>
      <c r="G72" s="9" t="n"/>
      <c r="H72" s="9" t="n"/>
      <c r="I72" s="9" t="n"/>
      <c r="J72" s="9" t="n"/>
      <c r="K72" s="9" t="n"/>
      <c r="L72" s="9" t="n"/>
      <c r="M72" s="9" t="n"/>
    </row>
    <row r="73">
      <c r="A73" s="7" t="inlineStr">
        <is>
          <t>2026-05</t>
        </is>
      </c>
      <c r="B73" s="8" t="n">
        <v>8081</v>
      </c>
      <c r="C73" s="9" t="n">
        <v>96.32855216</v>
      </c>
      <c r="D73" s="9" t="n">
        <v>102.5448534</v>
      </c>
      <c r="E73" s="9" t="n">
        <v>109.2826729</v>
      </c>
      <c r="F73" s="9" t="n"/>
      <c r="G73" s="9" t="n"/>
      <c r="H73" s="9" t="n"/>
      <c r="I73" s="9" t="n"/>
      <c r="J73" s="9" t="n"/>
      <c r="K73" s="9" t="n"/>
      <c r="L73" s="9" t="n"/>
      <c r="M73" s="9" t="n"/>
    </row>
    <row r="74">
      <c r="A74" s="7" t="inlineStr">
        <is>
          <t>2026-06</t>
        </is>
      </c>
      <c r="B74" s="8" t="n">
        <v>5486</v>
      </c>
      <c r="C74" s="9" t="n">
        <v>95.35924353</v>
      </c>
      <c r="D74" s="9" t="n">
        <v>103.2586365</v>
      </c>
      <c r="E74" s="9" t="n"/>
      <c r="F74" s="9" t="n"/>
      <c r="G74" s="9" t="n"/>
      <c r="H74" s="9" t="n"/>
      <c r="I74" s="9" t="n"/>
      <c r="J74" s="9" t="n"/>
      <c r="K74" s="9" t="n"/>
      <c r="L74" s="9" t="n"/>
      <c r="M74" s="9" t="n"/>
    </row>
    <row r="75">
      <c r="A75" s="7" t="inlineStr">
        <is>
          <t>2026-07</t>
        </is>
      </c>
      <c r="B75" s="8" t="n">
        <v>6385</v>
      </c>
      <c r="C75" s="9" t="n">
        <v>99.29728738999999</v>
      </c>
      <c r="D75" s="9" t="n"/>
      <c r="E75" s="9" t="n"/>
      <c r="F75" s="9" t="n"/>
      <c r="G75" s="9" t="n"/>
      <c r="H75" s="9" t="n"/>
      <c r="I75" s="9" t="n"/>
      <c r="J75" s="9" t="n"/>
      <c r="K75" s="9" t="n"/>
      <c r="L75" s="9" t="n"/>
      <c r="M75" s="9" t="n"/>
    </row>
    <row r="77">
      <c r="A77" s="4" t="inlineStr">
        <is>
          <t>% Diff  =  (ours − client) ÷ client      [green ≤2%  ·  amber 2–5%  ·  red &gt;5%]</t>
        </is>
      </c>
    </row>
    <row r="78">
      <c r="A78" s="5" t="inlineStr">
        <is>
          <t>Acquisition Month</t>
        </is>
      </c>
      <c r="B78" s="5" t="inlineStr">
        <is>
          <t>Customers</t>
        </is>
      </c>
      <c r="C78" s="6" t="inlineStr">
        <is>
          <t>M0</t>
        </is>
      </c>
      <c r="D78" s="6" t="inlineStr">
        <is>
          <t>M1</t>
        </is>
      </c>
      <c r="E78" s="6" t="inlineStr">
        <is>
          <t>M2</t>
        </is>
      </c>
      <c r="F78" s="6" t="inlineStr">
        <is>
          <t>M3</t>
        </is>
      </c>
      <c r="G78" s="6" t="inlineStr">
        <is>
          <t>M4</t>
        </is>
      </c>
      <c r="H78" s="6" t="inlineStr">
        <is>
          <t>M5</t>
        </is>
      </c>
      <c r="I78" s="6" t="inlineStr">
        <is>
          <t>M6</t>
        </is>
      </c>
      <c r="J78" s="6" t="inlineStr">
        <is>
          <t>M7</t>
        </is>
      </c>
      <c r="K78" s="6" t="inlineStr">
        <is>
          <t>M8</t>
        </is>
      </c>
      <c r="L78" s="6" t="inlineStr">
        <is>
          <t>M9</t>
        </is>
      </c>
      <c r="M78" s="6" t="inlineStr">
        <is>
          <t>M10</t>
        </is>
      </c>
    </row>
    <row r="79">
      <c r="A79" s="7" t="inlineStr">
        <is>
          <t>2025-09</t>
        </is>
      </c>
      <c r="B79" s="10">
        <f>IFERROR((B51-B65)/B65,"")</f>
        <v/>
      </c>
      <c r="C79" s="10">
        <f>IFERROR((C51-C65)/C65,"")</f>
        <v/>
      </c>
      <c r="D79" s="10">
        <f>IFERROR((D51-D65)/D65,"")</f>
        <v/>
      </c>
      <c r="E79" s="10">
        <f>IFERROR((E51-E65)/E65,"")</f>
        <v/>
      </c>
      <c r="F79" s="10">
        <f>IFERROR((F51-F65)/F65,"")</f>
        <v/>
      </c>
      <c r="G79" s="10">
        <f>IFERROR((G51-G65)/G65,"")</f>
        <v/>
      </c>
      <c r="H79" s="10">
        <f>IFERROR((H51-H65)/H65,"")</f>
        <v/>
      </c>
      <c r="I79" s="10">
        <f>IFERROR((I51-I65)/I65,"")</f>
        <v/>
      </c>
      <c r="J79" s="10">
        <f>IFERROR((J51-J65)/J65,"")</f>
        <v/>
      </c>
      <c r="K79" s="10">
        <f>IFERROR((K51-K65)/K65,"")</f>
        <v/>
      </c>
      <c r="L79" s="10">
        <f>IFERROR((L51-L65)/L65,"")</f>
        <v/>
      </c>
      <c r="M79" s="10">
        <f>IFERROR((M51-M65)/M65,"")</f>
        <v/>
      </c>
    </row>
    <row r="80">
      <c r="A80" s="7" t="inlineStr">
        <is>
          <t>2025-10</t>
        </is>
      </c>
      <c r="B80" s="10">
        <f>IFERROR((B52-B66)/B66,"")</f>
        <v/>
      </c>
      <c r="C80" s="10">
        <f>IFERROR((C52-C66)/C66,"")</f>
        <v/>
      </c>
      <c r="D80" s="10">
        <f>IFERROR((D52-D66)/D66,"")</f>
        <v/>
      </c>
      <c r="E80" s="10">
        <f>IFERROR((E52-E66)/E66,"")</f>
        <v/>
      </c>
      <c r="F80" s="10">
        <f>IFERROR((F52-F66)/F66,"")</f>
        <v/>
      </c>
      <c r="G80" s="10">
        <f>IFERROR((G52-G66)/G66,"")</f>
        <v/>
      </c>
      <c r="H80" s="10">
        <f>IFERROR((H52-H66)/H66,"")</f>
        <v/>
      </c>
      <c r="I80" s="10">
        <f>IFERROR((I52-I66)/I66,"")</f>
        <v/>
      </c>
      <c r="J80" s="10">
        <f>IFERROR((J52-J66)/J66,"")</f>
        <v/>
      </c>
      <c r="K80" s="10">
        <f>IFERROR((K52-K66)/K66,"")</f>
        <v/>
      </c>
      <c r="L80" s="10">
        <f>IFERROR((L52-L66)/L66,"")</f>
        <v/>
      </c>
      <c r="M80" s="10">
        <f>IFERROR((M52-M66)/M66,"")</f>
        <v/>
      </c>
    </row>
    <row r="81">
      <c r="A81" s="7" t="inlineStr">
        <is>
          <t>2025-11</t>
        </is>
      </c>
      <c r="B81" s="10">
        <f>IFERROR((B53-B67)/B67,"")</f>
        <v/>
      </c>
      <c r="C81" s="10">
        <f>IFERROR((C53-C67)/C67,"")</f>
        <v/>
      </c>
      <c r="D81" s="10">
        <f>IFERROR((D53-D67)/D67,"")</f>
        <v/>
      </c>
      <c r="E81" s="10">
        <f>IFERROR((E53-E67)/E67,"")</f>
        <v/>
      </c>
      <c r="F81" s="10">
        <f>IFERROR((F53-F67)/F67,"")</f>
        <v/>
      </c>
      <c r="G81" s="10">
        <f>IFERROR((G53-G67)/G67,"")</f>
        <v/>
      </c>
      <c r="H81" s="10">
        <f>IFERROR((H53-H67)/H67,"")</f>
        <v/>
      </c>
      <c r="I81" s="10">
        <f>IFERROR((I53-I67)/I67,"")</f>
        <v/>
      </c>
      <c r="J81" s="10">
        <f>IFERROR((J53-J67)/J67,"")</f>
        <v/>
      </c>
      <c r="K81" s="10">
        <f>IFERROR((K53-K67)/K67,"")</f>
        <v/>
      </c>
      <c r="L81" s="10">
        <f>IFERROR((L53-L67)/L67,"")</f>
        <v/>
      </c>
      <c r="M81" s="10">
        <f>IFERROR((M53-M67)/M67,"")</f>
        <v/>
      </c>
    </row>
    <row r="82">
      <c r="A82" s="7" t="inlineStr">
        <is>
          <t>2025-12</t>
        </is>
      </c>
      <c r="B82" s="10">
        <f>IFERROR((B54-B68)/B68,"")</f>
        <v/>
      </c>
      <c r="C82" s="10">
        <f>IFERROR((C54-C68)/C68,"")</f>
        <v/>
      </c>
      <c r="D82" s="10">
        <f>IFERROR((D54-D68)/D68,"")</f>
        <v/>
      </c>
      <c r="E82" s="10">
        <f>IFERROR((E54-E68)/E68,"")</f>
        <v/>
      </c>
      <c r="F82" s="10">
        <f>IFERROR((F54-F68)/F68,"")</f>
        <v/>
      </c>
      <c r="G82" s="10">
        <f>IFERROR((G54-G68)/G68,"")</f>
        <v/>
      </c>
      <c r="H82" s="10">
        <f>IFERROR((H54-H68)/H68,"")</f>
        <v/>
      </c>
      <c r="I82" s="10">
        <f>IFERROR((I54-I68)/I68,"")</f>
        <v/>
      </c>
      <c r="J82" s="10">
        <f>IFERROR((J54-J68)/J68,"")</f>
        <v/>
      </c>
      <c r="K82" s="10">
        <f>IFERROR((K54-K68)/K68,"")</f>
        <v/>
      </c>
      <c r="L82" s="10">
        <f>IFERROR((L54-L68)/L68,"")</f>
        <v/>
      </c>
      <c r="M82" s="10">
        <f>IFERROR((M54-M68)/M68,"")</f>
        <v/>
      </c>
    </row>
    <row r="83">
      <c r="A83" s="7" t="inlineStr">
        <is>
          <t>2026-01</t>
        </is>
      </c>
      <c r="B83" s="10">
        <f>IFERROR((B55-B69)/B69,"")</f>
        <v/>
      </c>
      <c r="C83" s="10">
        <f>IFERROR((C55-C69)/C69,"")</f>
        <v/>
      </c>
      <c r="D83" s="10">
        <f>IFERROR((D55-D69)/D69,"")</f>
        <v/>
      </c>
      <c r="E83" s="10">
        <f>IFERROR((E55-E69)/E69,"")</f>
        <v/>
      </c>
      <c r="F83" s="10">
        <f>IFERROR((F55-F69)/F69,"")</f>
        <v/>
      </c>
      <c r="G83" s="10">
        <f>IFERROR((G55-G69)/G69,"")</f>
        <v/>
      </c>
      <c r="H83" s="10">
        <f>IFERROR((H55-H69)/H69,"")</f>
        <v/>
      </c>
      <c r="I83" s="10">
        <f>IFERROR((I55-I69)/I69,"")</f>
        <v/>
      </c>
      <c r="J83" s="10">
        <f>IFERROR((J55-J69)/J69,"")</f>
        <v/>
      </c>
      <c r="K83" s="10">
        <f>IFERROR((K55-K69)/K69,"")</f>
        <v/>
      </c>
      <c r="L83" s="10">
        <f>IFERROR((L55-L69)/L69,"")</f>
        <v/>
      </c>
      <c r="M83" s="10">
        <f>IFERROR((M55-M69)/M69,"")</f>
        <v/>
      </c>
    </row>
    <row r="84">
      <c r="A84" s="7" t="inlineStr">
        <is>
          <t>2026-02</t>
        </is>
      </c>
      <c r="B84" s="10">
        <f>IFERROR((B56-B70)/B70,"")</f>
        <v/>
      </c>
      <c r="C84" s="10">
        <f>IFERROR((C56-C70)/C70,"")</f>
        <v/>
      </c>
      <c r="D84" s="10">
        <f>IFERROR((D56-D70)/D70,"")</f>
        <v/>
      </c>
      <c r="E84" s="10">
        <f>IFERROR((E56-E70)/E70,"")</f>
        <v/>
      </c>
      <c r="F84" s="10">
        <f>IFERROR((F56-F70)/F70,"")</f>
        <v/>
      </c>
      <c r="G84" s="10">
        <f>IFERROR((G56-G70)/G70,"")</f>
        <v/>
      </c>
      <c r="H84" s="10">
        <f>IFERROR((H56-H70)/H70,"")</f>
        <v/>
      </c>
      <c r="I84" s="10">
        <f>IFERROR((I56-I70)/I70,"")</f>
        <v/>
      </c>
      <c r="J84" s="10">
        <f>IFERROR((J56-J70)/J70,"")</f>
        <v/>
      </c>
      <c r="K84" s="10">
        <f>IFERROR((K56-K70)/K70,"")</f>
        <v/>
      </c>
      <c r="L84" s="10">
        <f>IFERROR((L56-L70)/L70,"")</f>
        <v/>
      </c>
      <c r="M84" s="10">
        <f>IFERROR((M56-M70)/M70,"")</f>
        <v/>
      </c>
    </row>
    <row r="85">
      <c r="A85" s="7" t="inlineStr">
        <is>
          <t>2026-03</t>
        </is>
      </c>
      <c r="B85" s="10">
        <f>IFERROR((B57-B71)/B71,"")</f>
        <v/>
      </c>
      <c r="C85" s="10">
        <f>IFERROR((C57-C71)/C71,"")</f>
        <v/>
      </c>
      <c r="D85" s="10">
        <f>IFERROR((D57-D71)/D71,"")</f>
        <v/>
      </c>
      <c r="E85" s="10">
        <f>IFERROR((E57-E71)/E71,"")</f>
        <v/>
      </c>
      <c r="F85" s="10">
        <f>IFERROR((F57-F71)/F71,"")</f>
        <v/>
      </c>
      <c r="G85" s="10">
        <f>IFERROR((G57-G71)/G71,"")</f>
        <v/>
      </c>
      <c r="H85" s="10">
        <f>IFERROR((H57-H71)/H71,"")</f>
        <v/>
      </c>
      <c r="I85" s="10">
        <f>IFERROR((I57-I71)/I71,"")</f>
        <v/>
      </c>
      <c r="J85" s="10">
        <f>IFERROR((J57-J71)/J71,"")</f>
        <v/>
      </c>
      <c r="K85" s="10">
        <f>IFERROR((K57-K71)/K71,"")</f>
        <v/>
      </c>
      <c r="L85" s="10">
        <f>IFERROR((L57-L71)/L71,"")</f>
        <v/>
      </c>
      <c r="M85" s="10">
        <f>IFERROR((M57-M71)/M71,"")</f>
        <v/>
      </c>
    </row>
    <row r="86">
      <c r="A86" s="7" t="inlineStr">
        <is>
          <t>2026-04</t>
        </is>
      </c>
      <c r="B86" s="10">
        <f>IFERROR((B58-B72)/B72,"")</f>
        <v/>
      </c>
      <c r="C86" s="10">
        <f>IFERROR((C58-C72)/C72,"")</f>
        <v/>
      </c>
      <c r="D86" s="10">
        <f>IFERROR((D58-D72)/D72,"")</f>
        <v/>
      </c>
      <c r="E86" s="10">
        <f>IFERROR((E58-E72)/E72,"")</f>
        <v/>
      </c>
      <c r="F86" s="10">
        <f>IFERROR((F58-F72)/F72,"")</f>
        <v/>
      </c>
      <c r="G86" s="10">
        <f>IFERROR((G58-G72)/G72,"")</f>
        <v/>
      </c>
      <c r="H86" s="10">
        <f>IFERROR((H58-H72)/H72,"")</f>
        <v/>
      </c>
      <c r="I86" s="10">
        <f>IFERROR((I58-I72)/I72,"")</f>
        <v/>
      </c>
      <c r="J86" s="10">
        <f>IFERROR((J58-J72)/J72,"")</f>
        <v/>
      </c>
      <c r="K86" s="10">
        <f>IFERROR((K58-K72)/K72,"")</f>
        <v/>
      </c>
      <c r="L86" s="10">
        <f>IFERROR((L58-L72)/L72,"")</f>
        <v/>
      </c>
      <c r="M86" s="10">
        <f>IFERROR((M58-M72)/M72,"")</f>
        <v/>
      </c>
    </row>
    <row r="87">
      <c r="A87" s="7" t="inlineStr">
        <is>
          <t>2026-05</t>
        </is>
      </c>
      <c r="B87" s="10">
        <f>IFERROR((B59-B73)/B73,"")</f>
        <v/>
      </c>
      <c r="C87" s="10">
        <f>IFERROR((C59-C73)/C73,"")</f>
        <v/>
      </c>
      <c r="D87" s="10">
        <f>IFERROR((D59-D73)/D73,"")</f>
        <v/>
      </c>
      <c r="E87" s="10">
        <f>IFERROR((E59-E73)/E73,"")</f>
        <v/>
      </c>
      <c r="F87" s="10">
        <f>IFERROR((F59-F73)/F73,"")</f>
        <v/>
      </c>
      <c r="G87" s="10">
        <f>IFERROR((G59-G73)/G73,"")</f>
        <v/>
      </c>
      <c r="H87" s="10">
        <f>IFERROR((H59-H73)/H73,"")</f>
        <v/>
      </c>
      <c r="I87" s="10">
        <f>IFERROR((I59-I73)/I73,"")</f>
        <v/>
      </c>
      <c r="J87" s="10">
        <f>IFERROR((J59-J73)/J73,"")</f>
        <v/>
      </c>
      <c r="K87" s="10">
        <f>IFERROR((K59-K73)/K73,"")</f>
        <v/>
      </c>
      <c r="L87" s="10">
        <f>IFERROR((L59-L73)/L73,"")</f>
        <v/>
      </c>
      <c r="M87" s="10">
        <f>IFERROR((M59-M73)/M73,"")</f>
        <v/>
      </c>
    </row>
    <row r="88">
      <c r="A88" s="7" t="inlineStr">
        <is>
          <t>2026-06</t>
        </is>
      </c>
      <c r="B88" s="10">
        <f>IFERROR((B60-B74)/B74,"")</f>
        <v/>
      </c>
      <c r="C88" s="10">
        <f>IFERROR((C60-C74)/C74,"")</f>
        <v/>
      </c>
      <c r="D88" s="10">
        <f>IFERROR((D60-D74)/D74,"")</f>
        <v/>
      </c>
      <c r="E88" s="10">
        <f>IFERROR((E60-E74)/E74,"")</f>
        <v/>
      </c>
      <c r="F88" s="10">
        <f>IFERROR((F60-F74)/F74,"")</f>
        <v/>
      </c>
      <c r="G88" s="10">
        <f>IFERROR((G60-G74)/G74,"")</f>
        <v/>
      </c>
      <c r="H88" s="10">
        <f>IFERROR((H60-H74)/H74,"")</f>
        <v/>
      </c>
      <c r="I88" s="10">
        <f>IFERROR((I60-I74)/I74,"")</f>
        <v/>
      </c>
      <c r="J88" s="10">
        <f>IFERROR((J60-J74)/J74,"")</f>
        <v/>
      </c>
      <c r="K88" s="10">
        <f>IFERROR((K60-K74)/K74,"")</f>
        <v/>
      </c>
      <c r="L88" s="10">
        <f>IFERROR((L60-L74)/L74,"")</f>
        <v/>
      </c>
      <c r="M88" s="10">
        <f>IFERROR((M60-M74)/M74,"")</f>
        <v/>
      </c>
    </row>
    <row r="89">
      <c r="A89" s="7" t="inlineStr">
        <is>
          <t>2026-07</t>
        </is>
      </c>
      <c r="B89" s="10">
        <f>IFERROR((B61-B75)/B75,"")</f>
        <v/>
      </c>
      <c r="C89" s="10">
        <f>IFERROR((C61-C75)/C75,"")</f>
        <v/>
      </c>
      <c r="D89" s="10">
        <f>IFERROR((D61-D75)/D75,"")</f>
        <v/>
      </c>
      <c r="E89" s="10">
        <f>IFERROR((E61-E75)/E75,"")</f>
        <v/>
      </c>
      <c r="F89" s="10">
        <f>IFERROR((F61-F75)/F75,"")</f>
        <v/>
      </c>
      <c r="G89" s="10">
        <f>IFERROR((G61-G75)/G75,"")</f>
        <v/>
      </c>
      <c r="H89" s="10">
        <f>IFERROR((H61-H75)/H75,"")</f>
        <v/>
      </c>
      <c r="I89" s="10">
        <f>IFERROR((I61-I75)/I75,"")</f>
        <v/>
      </c>
      <c r="J89" s="10">
        <f>IFERROR((J61-J75)/J75,"")</f>
        <v/>
      </c>
      <c r="K89" s="10">
        <f>IFERROR((K61-K75)/K75,"")</f>
        <v/>
      </c>
      <c r="L89" s="10">
        <f>IFERROR((L61-L75)/L75,"")</f>
        <v/>
      </c>
      <c r="M89" s="10">
        <f>IFERROR((M61-M75)/M75,"")</f>
        <v/>
      </c>
    </row>
    <row r="92">
      <c r="A92" s="3" t="inlineStr">
        <is>
          <t>ACQUIRED ON SUBSCRIPTION</t>
        </is>
      </c>
    </row>
    <row r="93">
      <c r="A93" s="4" t="inlineStr">
        <is>
          <t>Cohorts Dashboard (ours)</t>
        </is>
      </c>
    </row>
    <row r="94">
      <c r="A94" s="5" t="inlineStr">
        <is>
          <t>Acquisition Month</t>
        </is>
      </c>
      <c r="B94" s="5" t="inlineStr">
        <is>
          <t>Customers</t>
        </is>
      </c>
      <c r="C94" s="6" t="inlineStr">
        <is>
          <t>M0</t>
        </is>
      </c>
      <c r="D94" s="6" t="inlineStr">
        <is>
          <t>M1</t>
        </is>
      </c>
      <c r="E94" s="6" t="inlineStr">
        <is>
          <t>M2</t>
        </is>
      </c>
      <c r="F94" s="6" t="inlineStr">
        <is>
          <t>M3</t>
        </is>
      </c>
      <c r="G94" s="6" t="inlineStr">
        <is>
          <t>M4</t>
        </is>
      </c>
      <c r="H94" s="6" t="inlineStr">
        <is>
          <t>M5</t>
        </is>
      </c>
      <c r="I94" s="6" t="inlineStr">
        <is>
          <t>M6</t>
        </is>
      </c>
      <c r="J94" s="6" t="inlineStr">
        <is>
          <t>M7</t>
        </is>
      </c>
      <c r="K94" s="6" t="inlineStr">
        <is>
          <t>M8</t>
        </is>
      </c>
      <c r="L94" s="6" t="inlineStr">
        <is>
          <t>M9</t>
        </is>
      </c>
      <c r="M94" s="6" t="inlineStr">
        <is>
          <t>M10</t>
        </is>
      </c>
    </row>
    <row r="95">
      <c r="A95" s="7" t="inlineStr">
        <is>
          <t>2025-09</t>
        </is>
      </c>
      <c r="B95" s="8" t="n">
        <v>3153</v>
      </c>
      <c r="C95" s="9" t="n">
        <v>95.98</v>
      </c>
      <c r="D95" s="9" t="n">
        <v>127.27</v>
      </c>
      <c r="E95" s="9" t="n">
        <v>175.29</v>
      </c>
      <c r="F95" s="9" t="n">
        <v>210.39</v>
      </c>
      <c r="G95" s="9" t="n">
        <v>241.17</v>
      </c>
      <c r="H95" s="9" t="n">
        <v>268.12</v>
      </c>
      <c r="I95" s="9" t="n">
        <v>303.74</v>
      </c>
      <c r="J95" s="9" t="n">
        <v>332.08</v>
      </c>
      <c r="K95" s="9" t="n">
        <v>365.73</v>
      </c>
      <c r="L95" s="9" t="n">
        <v>388.27</v>
      </c>
      <c r="M95" s="9" t="n">
        <v>411</v>
      </c>
    </row>
    <row r="96">
      <c r="A96" s="7" t="inlineStr">
        <is>
          <t>2025-10</t>
        </is>
      </c>
      <c r="B96" s="8" t="n">
        <v>3063</v>
      </c>
      <c r="C96" s="9" t="n">
        <v>97.67</v>
      </c>
      <c r="D96" s="9" t="n">
        <v>137.01</v>
      </c>
      <c r="E96" s="9" t="n">
        <v>171.18</v>
      </c>
      <c r="F96" s="9" t="n">
        <v>207.57</v>
      </c>
      <c r="G96" s="9" t="n">
        <v>236.33</v>
      </c>
      <c r="H96" s="9" t="n">
        <v>270.02</v>
      </c>
      <c r="I96" s="9" t="n">
        <v>301.87</v>
      </c>
      <c r="J96" s="9" t="n">
        <v>333.14</v>
      </c>
      <c r="K96" s="9" t="n">
        <v>355.51</v>
      </c>
      <c r="L96" s="9" t="n">
        <v>381.22</v>
      </c>
      <c r="M96" s="9" t="n">
        <v>402.26</v>
      </c>
    </row>
    <row r="97">
      <c r="A97" s="7" t="inlineStr">
        <is>
          <t>2025-11</t>
        </is>
      </c>
      <c r="B97" s="8" t="n">
        <v>5273</v>
      </c>
      <c r="C97" s="9" t="n">
        <v>105.54</v>
      </c>
      <c r="D97" s="9" t="n">
        <v>131.2</v>
      </c>
      <c r="E97" s="9" t="n">
        <v>164.65</v>
      </c>
      <c r="F97" s="9" t="n">
        <v>200.54</v>
      </c>
      <c r="G97" s="9" t="n">
        <v>232.96</v>
      </c>
      <c r="H97" s="9" t="n">
        <v>258.31</v>
      </c>
      <c r="I97" s="9" t="n">
        <v>293.77</v>
      </c>
      <c r="J97" s="9" t="n">
        <v>314.38</v>
      </c>
      <c r="K97" s="9" t="n">
        <v>337.62</v>
      </c>
      <c r="L97" s="9" t="n">
        <v>359.95</v>
      </c>
      <c r="M97" s="9" t="n">
        <v>379.6</v>
      </c>
    </row>
    <row r="98">
      <c r="A98" s="7" t="inlineStr">
        <is>
          <t>2025-12</t>
        </is>
      </c>
      <c r="B98" s="8" t="n">
        <v>3138</v>
      </c>
      <c r="C98" s="9" t="n">
        <v>102.53</v>
      </c>
      <c r="D98" s="9" t="n">
        <v>136.15</v>
      </c>
      <c r="E98" s="9" t="n">
        <v>169.82</v>
      </c>
      <c r="F98" s="9" t="n">
        <v>217.61</v>
      </c>
      <c r="G98" s="9" t="n">
        <v>250.39</v>
      </c>
      <c r="H98" s="9" t="n">
        <v>288.98</v>
      </c>
      <c r="I98" s="9" t="n">
        <v>316.01</v>
      </c>
      <c r="J98" s="9" t="n">
        <v>343.02</v>
      </c>
      <c r="K98" s="9" t="n">
        <v>368.85</v>
      </c>
      <c r="L98" s="9" t="n">
        <v>393.63</v>
      </c>
      <c r="M98" s="9" t="n"/>
    </row>
    <row r="99">
      <c r="A99" s="7" t="inlineStr">
        <is>
          <t>2026-01</t>
        </is>
      </c>
      <c r="B99" s="8" t="n">
        <v>5363</v>
      </c>
      <c r="C99" s="9" t="n">
        <v>96.33</v>
      </c>
      <c r="D99" s="9" t="n">
        <v>121.69</v>
      </c>
      <c r="E99" s="9" t="n">
        <v>161.08</v>
      </c>
      <c r="F99" s="9" t="n">
        <v>202.37</v>
      </c>
      <c r="G99" s="9" t="n">
        <v>238.78</v>
      </c>
      <c r="H99" s="9" t="n">
        <v>259.64</v>
      </c>
      <c r="I99" s="9" t="n">
        <v>287.77</v>
      </c>
      <c r="J99" s="9" t="n">
        <v>307.88</v>
      </c>
      <c r="K99" s="9" t="n">
        <v>327.25</v>
      </c>
      <c r="L99" s="9" t="n"/>
      <c r="M99" s="9" t="n"/>
    </row>
    <row r="100">
      <c r="A100" s="7" t="inlineStr">
        <is>
          <t>2026-02</t>
        </is>
      </c>
      <c r="B100" s="8" t="n">
        <v>5192</v>
      </c>
      <c r="C100" s="9" t="n">
        <v>97.51000000000001</v>
      </c>
      <c r="D100" s="9" t="n">
        <v>133.81</v>
      </c>
      <c r="E100" s="9" t="n">
        <v>170.74</v>
      </c>
      <c r="F100" s="9" t="n">
        <v>215.79</v>
      </c>
      <c r="G100" s="9" t="n">
        <v>241.61</v>
      </c>
      <c r="H100" s="9" t="n">
        <v>265.99</v>
      </c>
      <c r="I100" s="9" t="n">
        <v>293.73</v>
      </c>
      <c r="J100" s="9" t="n">
        <v>314.6</v>
      </c>
      <c r="K100" s="9" t="n"/>
      <c r="L100" s="9" t="n"/>
      <c r="M100" s="9" t="n"/>
    </row>
    <row r="101">
      <c r="A101" s="7" t="inlineStr">
        <is>
          <t>2026-03</t>
        </is>
      </c>
      <c r="B101" s="8" t="n">
        <v>4577</v>
      </c>
      <c r="C101" s="9" t="n">
        <v>101.01</v>
      </c>
      <c r="D101" s="9" t="n">
        <v>140.49</v>
      </c>
      <c r="E101" s="9" t="n">
        <v>189.39</v>
      </c>
      <c r="F101" s="9" t="n">
        <v>226.32</v>
      </c>
      <c r="G101" s="9" t="n">
        <v>255.93</v>
      </c>
      <c r="H101" s="9" t="n">
        <v>283.11</v>
      </c>
      <c r="I101" s="9" t="n">
        <v>309.91</v>
      </c>
      <c r="J101" s="9" t="n"/>
      <c r="K101" s="9" t="n"/>
      <c r="L101" s="9" t="n"/>
      <c r="M101" s="9" t="n"/>
    </row>
    <row r="102">
      <c r="A102" s="7" t="inlineStr">
        <is>
          <t>2026-04</t>
        </is>
      </c>
      <c r="B102" s="8" t="n">
        <v>4478</v>
      </c>
      <c r="C102" s="9" t="n">
        <v>103.38</v>
      </c>
      <c r="D102" s="9" t="n">
        <v>153.21</v>
      </c>
      <c r="E102" s="9" t="n">
        <v>188.27</v>
      </c>
      <c r="F102" s="9" t="n">
        <v>228.62</v>
      </c>
      <c r="G102" s="9" t="n">
        <v>259.32</v>
      </c>
      <c r="H102" s="9" t="n">
        <v>284</v>
      </c>
      <c r="I102" s="9" t="n"/>
      <c r="J102" s="9" t="n"/>
      <c r="K102" s="9" t="n"/>
      <c r="L102" s="9" t="n"/>
      <c r="M102" s="9" t="n"/>
    </row>
    <row r="103">
      <c r="A103" s="7" t="inlineStr">
        <is>
          <t>2026-05</t>
        </is>
      </c>
      <c r="B103" s="8" t="n">
        <v>7765</v>
      </c>
      <c r="C103" s="9" t="n">
        <v>101.59</v>
      </c>
      <c r="D103" s="9" t="n">
        <v>131.2</v>
      </c>
      <c r="E103" s="9" t="n">
        <v>165.37</v>
      </c>
      <c r="F103" s="9" t="n">
        <v>202.31</v>
      </c>
      <c r="G103" s="9" t="n">
        <v>224.84</v>
      </c>
      <c r="H103" s="9" t="n"/>
      <c r="I103" s="9" t="n"/>
      <c r="J103" s="9" t="n"/>
      <c r="K103" s="9" t="n"/>
      <c r="L103" s="9" t="n"/>
      <c r="M103" s="9" t="n"/>
    </row>
    <row r="104">
      <c r="A104" s="7" t="inlineStr">
        <is>
          <t>2026-06</t>
        </is>
      </c>
      <c r="B104" s="8" t="n">
        <v>3459</v>
      </c>
      <c r="C104" s="9" t="n">
        <v>104.61</v>
      </c>
      <c r="D104" s="9" t="n">
        <v>144.67</v>
      </c>
      <c r="E104" s="9" t="n">
        <v>184.99</v>
      </c>
      <c r="F104" s="9" t="n">
        <v>223.61</v>
      </c>
      <c r="G104" s="9" t="n"/>
      <c r="H104" s="9" t="n"/>
      <c r="I104" s="9" t="n"/>
      <c r="J104" s="9" t="n"/>
      <c r="K104" s="9" t="n"/>
      <c r="L104" s="9" t="n"/>
      <c r="M104" s="9" t="n"/>
    </row>
    <row r="105">
      <c r="A105" s="7" t="inlineStr">
        <is>
          <t>2026-07</t>
        </is>
      </c>
      <c r="B105" s="8" t="n">
        <v>4437</v>
      </c>
      <c r="C105" s="9" t="n">
        <v>104.36</v>
      </c>
      <c r="D105" s="9" t="n">
        <v>140.1</v>
      </c>
      <c r="E105" s="9" t="n">
        <v>176.48</v>
      </c>
      <c r="F105" s="9" t="n"/>
      <c r="G105" s="9" t="n"/>
      <c r="H105" s="9" t="n"/>
      <c r="I105" s="9" t="n"/>
      <c r="J105" s="9" t="n"/>
      <c r="K105" s="9" t="n"/>
      <c r="L105" s="9" t="n"/>
      <c r="M105" s="9" t="n"/>
    </row>
    <row r="107">
      <c r="A107" s="4" t="inlineStr">
        <is>
          <t>Equip LTV analysis (client)</t>
        </is>
      </c>
    </row>
    <row r="108">
      <c r="A108" s="5" t="inlineStr">
        <is>
          <t>Acquisition Month</t>
        </is>
      </c>
      <c r="B108" s="5" t="inlineStr">
        <is>
          <t>Customers</t>
        </is>
      </c>
      <c r="C108" s="6" t="inlineStr">
        <is>
          <t>M0</t>
        </is>
      </c>
      <c r="D108" s="6" t="inlineStr">
        <is>
          <t>M1</t>
        </is>
      </c>
      <c r="E108" s="6" t="inlineStr">
        <is>
          <t>M2</t>
        </is>
      </c>
      <c r="F108" s="6" t="inlineStr">
        <is>
          <t>M3</t>
        </is>
      </c>
      <c r="G108" s="6" t="inlineStr">
        <is>
          <t>M4</t>
        </is>
      </c>
      <c r="H108" s="6" t="inlineStr">
        <is>
          <t>M5</t>
        </is>
      </c>
      <c r="I108" s="6" t="inlineStr">
        <is>
          <t>M6</t>
        </is>
      </c>
      <c r="J108" s="6" t="inlineStr">
        <is>
          <t>M7</t>
        </is>
      </c>
      <c r="K108" s="6" t="inlineStr">
        <is>
          <t>M8</t>
        </is>
      </c>
      <c r="L108" s="6" t="inlineStr">
        <is>
          <t>M9</t>
        </is>
      </c>
      <c r="M108" s="6" t="inlineStr">
        <is>
          <t>M10</t>
        </is>
      </c>
    </row>
    <row r="109">
      <c r="A109" s="7" t="inlineStr">
        <is>
          <t>2025-09</t>
        </is>
      </c>
      <c r="B109" s="8" t="n">
        <v>3138</v>
      </c>
      <c r="C109" s="9" t="n">
        <v>96.36329828</v>
      </c>
      <c r="D109" s="9" t="n">
        <v>127.6297387</v>
      </c>
      <c r="E109" s="9" t="n">
        <v>176.0163799</v>
      </c>
      <c r="F109" s="9" t="n">
        <v>211.1768738</v>
      </c>
      <c r="G109" s="9" t="n">
        <v>242.067696</v>
      </c>
      <c r="H109" s="9" t="n">
        <v>269.161673</v>
      </c>
      <c r="I109" s="9" t="n">
        <v>304.9139579</v>
      </c>
      <c r="J109" s="9" t="n">
        <v>333.4328203</v>
      </c>
      <c r="K109" s="9" t="n">
        <v>367.4141332</v>
      </c>
      <c r="L109" s="9" t="n">
        <v>390.4247419</v>
      </c>
      <c r="M109" s="9" t="n">
        <v>413.1214436</v>
      </c>
    </row>
    <row r="110">
      <c r="A110" s="7" t="inlineStr">
        <is>
          <t>2025-10</t>
        </is>
      </c>
      <c r="B110" s="8" t="n">
        <v>3079</v>
      </c>
      <c r="C110" s="9" t="n">
        <v>98.37532315999999</v>
      </c>
      <c r="D110" s="9" t="n">
        <v>136.9613348</v>
      </c>
      <c r="E110" s="9" t="n">
        <v>170.8845339</v>
      </c>
      <c r="F110" s="9" t="n">
        <v>207.0625885</v>
      </c>
      <c r="G110" s="9" t="n">
        <v>235.5209354</v>
      </c>
      <c r="H110" s="9" t="n">
        <v>269.0439428</v>
      </c>
      <c r="I110" s="9" t="n">
        <v>300.7489217</v>
      </c>
      <c r="J110" s="9" t="n">
        <v>331.9093732</v>
      </c>
      <c r="K110" s="9" t="n">
        <v>354.1337122</v>
      </c>
      <c r="L110" s="9" t="n">
        <v>379.7870315</v>
      </c>
      <c r="M110" s="9" t="n"/>
    </row>
    <row r="111">
      <c r="A111" s="7" t="inlineStr">
        <is>
          <t>2025-11</t>
        </is>
      </c>
      <c r="B111" s="8" t="n">
        <v>5274</v>
      </c>
      <c r="C111" s="9" t="n">
        <v>107.0124346</v>
      </c>
      <c r="D111" s="9" t="n">
        <v>132.4733637</v>
      </c>
      <c r="E111" s="9" t="n">
        <v>165.7140804</v>
      </c>
      <c r="F111" s="9" t="n">
        <v>201.7902541</v>
      </c>
      <c r="G111" s="9" t="n">
        <v>234.1499279</v>
      </c>
      <c r="H111" s="9" t="n">
        <v>259.4084547</v>
      </c>
      <c r="I111" s="9" t="n">
        <v>294.9881399</v>
      </c>
      <c r="J111" s="9" t="n">
        <v>315.6401403</v>
      </c>
      <c r="K111" s="9" t="n">
        <v>339.0214069</v>
      </c>
      <c r="L111" s="9" t="n"/>
      <c r="M111" s="9" t="n"/>
    </row>
    <row r="112">
      <c r="A112" s="7" t="inlineStr">
        <is>
          <t>2025-12</t>
        </is>
      </c>
      <c r="B112" s="8" t="n">
        <v>3116</v>
      </c>
      <c r="C112" s="9" t="n">
        <v>103.8350546</v>
      </c>
      <c r="D112" s="9" t="n">
        <v>137.7636264</v>
      </c>
      <c r="E112" s="9" t="n">
        <v>172.0159435</v>
      </c>
      <c r="F112" s="9" t="n">
        <v>220.2903498</v>
      </c>
      <c r="G112" s="9" t="n">
        <v>253.4561008</v>
      </c>
      <c r="H112" s="9" t="n">
        <v>292.6629429</v>
      </c>
      <c r="I112" s="9" t="n">
        <v>319.9341175</v>
      </c>
      <c r="J112" s="9" t="n">
        <v>347.1997368</v>
      </c>
      <c r="K112" s="9" t="n"/>
      <c r="L112" s="9" t="n"/>
      <c r="M112" s="9" t="n"/>
    </row>
    <row r="113">
      <c r="A113" s="7" t="inlineStr">
        <is>
          <t>2026-01</t>
        </is>
      </c>
      <c r="B113" s="8" t="n">
        <v>5353</v>
      </c>
      <c r="C113" s="9" t="n">
        <v>97.30717168</v>
      </c>
      <c r="D113" s="9" t="n">
        <v>122.9090473</v>
      </c>
      <c r="E113" s="9" t="n">
        <v>162.372139</v>
      </c>
      <c r="F113" s="9" t="n">
        <v>203.7458322</v>
      </c>
      <c r="G113" s="9" t="n">
        <v>240.1205343</v>
      </c>
      <c r="H113" s="9" t="n">
        <v>261.0600224</v>
      </c>
      <c r="I113" s="9" t="n">
        <v>289.1598375</v>
      </c>
      <c r="J113" s="9" t="n"/>
      <c r="K113" s="9" t="n"/>
      <c r="L113" s="9" t="n"/>
      <c r="M113" s="9" t="n"/>
    </row>
    <row r="114">
      <c r="A114" s="7" t="inlineStr">
        <is>
          <t>2026-02</t>
        </is>
      </c>
      <c r="B114" s="8" t="n">
        <v>5202</v>
      </c>
      <c r="C114" s="9" t="n">
        <v>98.2183737</v>
      </c>
      <c r="D114" s="9" t="n">
        <v>134.623887</v>
      </c>
      <c r="E114" s="9" t="n">
        <v>171.354306</v>
      </c>
      <c r="F114" s="9" t="n">
        <v>216.2170454</v>
      </c>
      <c r="G114" s="9" t="n">
        <v>242.0012438</v>
      </c>
      <c r="H114" s="9" t="n">
        <v>266.321286</v>
      </c>
      <c r="I114" s="9" t="n"/>
      <c r="J114" s="9" t="n"/>
      <c r="K114" s="9" t="n"/>
      <c r="L114" s="9" t="n"/>
      <c r="M114" s="9" t="n"/>
    </row>
    <row r="115">
      <c r="A115" s="7" t="inlineStr">
        <is>
          <t>2026-03</t>
        </is>
      </c>
      <c r="B115" s="8" t="n">
        <v>4608</v>
      </c>
      <c r="C115" s="9" t="n">
        <v>102.5901845</v>
      </c>
      <c r="D115" s="9" t="n">
        <v>141.9545725</v>
      </c>
      <c r="E115" s="9" t="n">
        <v>190.8568641</v>
      </c>
      <c r="F115" s="9" t="n">
        <v>227.717398</v>
      </c>
      <c r="G115" s="9" t="n">
        <v>257.280625</v>
      </c>
      <c r="H115" s="9" t="n"/>
      <c r="I115" s="9" t="n"/>
      <c r="J115" s="9" t="n"/>
      <c r="K115" s="9" t="n"/>
      <c r="L115" s="9" t="n"/>
      <c r="M115" s="9" t="n"/>
    </row>
    <row r="116">
      <c r="A116" s="7" t="inlineStr">
        <is>
          <t>2026-04</t>
        </is>
      </c>
      <c r="B116" s="8" t="n">
        <v>4508</v>
      </c>
      <c r="C116" s="9" t="n">
        <v>104.9280146</v>
      </c>
      <c r="D116" s="9" t="n">
        <v>155.2453949</v>
      </c>
      <c r="E116" s="9" t="n">
        <v>190.2657986</v>
      </c>
      <c r="F116" s="9" t="n">
        <v>230.5558651</v>
      </c>
      <c r="G116" s="9" t="n"/>
      <c r="H116" s="9" t="n"/>
      <c r="I116" s="9" t="n"/>
      <c r="J116" s="9" t="n"/>
      <c r="K116" s="9" t="n"/>
      <c r="L116" s="9" t="n"/>
      <c r="M116" s="9" t="n"/>
    </row>
    <row r="117">
      <c r="A117" s="7" t="inlineStr">
        <is>
          <t>2026-05</t>
        </is>
      </c>
      <c r="B117" s="8" t="n">
        <v>7853</v>
      </c>
      <c r="C117" s="9" t="n">
        <v>102.9923431</v>
      </c>
      <c r="D117" s="9" t="n">
        <v>132.3526805</v>
      </c>
      <c r="E117" s="9" t="n">
        <v>166.261183</v>
      </c>
      <c r="F117" s="9" t="n"/>
      <c r="G117" s="9" t="n"/>
      <c r="H117" s="9" t="n"/>
      <c r="I117" s="9" t="n"/>
      <c r="J117" s="9" t="n"/>
      <c r="K117" s="9" t="n"/>
      <c r="L117" s="9" t="n"/>
      <c r="M117" s="9" t="n"/>
    </row>
    <row r="118">
      <c r="A118" s="7" t="inlineStr">
        <is>
          <t>2026-06</t>
        </is>
      </c>
      <c r="B118" s="8" t="n">
        <v>3492</v>
      </c>
      <c r="C118" s="9" t="n">
        <v>106.4186426</v>
      </c>
      <c r="D118" s="9" t="n">
        <v>146.3630756</v>
      </c>
      <c r="E118" s="9" t="n"/>
      <c r="F118" s="9" t="n"/>
      <c r="G118" s="9" t="n"/>
      <c r="H118" s="9" t="n"/>
      <c r="I118" s="9" t="n"/>
      <c r="J118" s="9" t="n"/>
      <c r="K118" s="9" t="n"/>
      <c r="L118" s="9" t="n"/>
      <c r="M118" s="9" t="n"/>
    </row>
    <row r="119">
      <c r="A119" s="7" t="inlineStr">
        <is>
          <t>2026-07</t>
        </is>
      </c>
      <c r="B119" s="8" t="n">
        <v>4447</v>
      </c>
      <c r="C119" s="9" t="n">
        <v>105.6801372</v>
      </c>
      <c r="D119" s="9" t="n"/>
      <c r="E119" s="9" t="n"/>
      <c r="F119" s="9" t="n"/>
      <c r="G119" s="9" t="n"/>
      <c r="H119" s="9" t="n"/>
      <c r="I119" s="9" t="n"/>
      <c r="J119" s="9" t="n"/>
      <c r="K119" s="9" t="n"/>
      <c r="L119" s="9" t="n"/>
      <c r="M119" s="9" t="n"/>
    </row>
    <row r="121">
      <c r="A121" s="4" t="inlineStr">
        <is>
          <t>% Diff  =  (ours − client) ÷ client      [green ≤2%  ·  amber 2–5%  ·  red &gt;5%]</t>
        </is>
      </c>
    </row>
    <row r="122">
      <c r="A122" s="5" t="inlineStr">
        <is>
          <t>Acquisition Month</t>
        </is>
      </c>
      <c r="B122" s="5" t="inlineStr">
        <is>
          <t>Customers</t>
        </is>
      </c>
      <c r="C122" s="6" t="inlineStr">
        <is>
          <t>M0</t>
        </is>
      </c>
      <c r="D122" s="6" t="inlineStr">
        <is>
          <t>M1</t>
        </is>
      </c>
      <c r="E122" s="6" t="inlineStr">
        <is>
          <t>M2</t>
        </is>
      </c>
      <c r="F122" s="6" t="inlineStr">
        <is>
          <t>M3</t>
        </is>
      </c>
      <c r="G122" s="6" t="inlineStr">
        <is>
          <t>M4</t>
        </is>
      </c>
      <c r="H122" s="6" t="inlineStr">
        <is>
          <t>M5</t>
        </is>
      </c>
      <c r="I122" s="6" t="inlineStr">
        <is>
          <t>M6</t>
        </is>
      </c>
      <c r="J122" s="6" t="inlineStr">
        <is>
          <t>M7</t>
        </is>
      </c>
      <c r="K122" s="6" t="inlineStr">
        <is>
          <t>M8</t>
        </is>
      </c>
      <c r="L122" s="6" t="inlineStr">
        <is>
          <t>M9</t>
        </is>
      </c>
      <c r="M122" s="6" t="inlineStr">
        <is>
          <t>M10</t>
        </is>
      </c>
    </row>
    <row r="123">
      <c r="A123" s="7" t="inlineStr">
        <is>
          <t>2025-09</t>
        </is>
      </c>
      <c r="B123" s="10">
        <f>IFERROR((B95-B109)/B109,"")</f>
        <v/>
      </c>
      <c r="C123" s="10">
        <f>IFERROR((C95-C109)/C109,"")</f>
        <v/>
      </c>
      <c r="D123" s="10">
        <f>IFERROR((D95-D109)/D109,"")</f>
        <v/>
      </c>
      <c r="E123" s="10">
        <f>IFERROR((E95-E109)/E109,"")</f>
        <v/>
      </c>
      <c r="F123" s="10">
        <f>IFERROR((F95-F109)/F109,"")</f>
        <v/>
      </c>
      <c r="G123" s="10">
        <f>IFERROR((G95-G109)/G109,"")</f>
        <v/>
      </c>
      <c r="H123" s="10">
        <f>IFERROR((H95-H109)/H109,"")</f>
        <v/>
      </c>
      <c r="I123" s="10">
        <f>IFERROR((I95-I109)/I109,"")</f>
        <v/>
      </c>
      <c r="J123" s="10">
        <f>IFERROR((J95-J109)/J109,"")</f>
        <v/>
      </c>
      <c r="K123" s="10">
        <f>IFERROR((K95-K109)/K109,"")</f>
        <v/>
      </c>
      <c r="L123" s="10">
        <f>IFERROR((L95-L109)/L109,"")</f>
        <v/>
      </c>
      <c r="M123" s="10">
        <f>IFERROR((M95-M109)/M109,"")</f>
        <v/>
      </c>
    </row>
    <row r="124">
      <c r="A124" s="7" t="inlineStr">
        <is>
          <t>2025-10</t>
        </is>
      </c>
      <c r="B124" s="10">
        <f>IFERROR((B96-B110)/B110,"")</f>
        <v/>
      </c>
      <c r="C124" s="10">
        <f>IFERROR((C96-C110)/C110,"")</f>
        <v/>
      </c>
      <c r="D124" s="10">
        <f>IFERROR((D96-D110)/D110,"")</f>
        <v/>
      </c>
      <c r="E124" s="10">
        <f>IFERROR((E96-E110)/E110,"")</f>
        <v/>
      </c>
      <c r="F124" s="10">
        <f>IFERROR((F96-F110)/F110,"")</f>
        <v/>
      </c>
      <c r="G124" s="10">
        <f>IFERROR((G96-G110)/G110,"")</f>
        <v/>
      </c>
      <c r="H124" s="10">
        <f>IFERROR((H96-H110)/H110,"")</f>
        <v/>
      </c>
      <c r="I124" s="10">
        <f>IFERROR((I96-I110)/I110,"")</f>
        <v/>
      </c>
      <c r="J124" s="10">
        <f>IFERROR((J96-J110)/J110,"")</f>
        <v/>
      </c>
      <c r="K124" s="10">
        <f>IFERROR((K96-K110)/K110,"")</f>
        <v/>
      </c>
      <c r="L124" s="10">
        <f>IFERROR((L96-L110)/L110,"")</f>
        <v/>
      </c>
      <c r="M124" s="10">
        <f>IFERROR((M96-M110)/M110,"")</f>
        <v/>
      </c>
    </row>
    <row r="125">
      <c r="A125" s="7" t="inlineStr">
        <is>
          <t>2025-11</t>
        </is>
      </c>
      <c r="B125" s="10">
        <f>IFERROR((B97-B111)/B111,"")</f>
        <v/>
      </c>
      <c r="C125" s="10">
        <f>IFERROR((C97-C111)/C111,"")</f>
        <v/>
      </c>
      <c r="D125" s="10">
        <f>IFERROR((D97-D111)/D111,"")</f>
        <v/>
      </c>
      <c r="E125" s="10">
        <f>IFERROR((E97-E111)/E111,"")</f>
        <v/>
      </c>
      <c r="F125" s="10">
        <f>IFERROR((F97-F111)/F111,"")</f>
        <v/>
      </c>
      <c r="G125" s="10">
        <f>IFERROR((G97-G111)/G111,"")</f>
        <v/>
      </c>
      <c r="H125" s="10">
        <f>IFERROR((H97-H111)/H111,"")</f>
        <v/>
      </c>
      <c r="I125" s="10">
        <f>IFERROR((I97-I111)/I111,"")</f>
        <v/>
      </c>
      <c r="J125" s="10">
        <f>IFERROR((J97-J111)/J111,"")</f>
        <v/>
      </c>
      <c r="K125" s="10">
        <f>IFERROR((K97-K111)/K111,"")</f>
        <v/>
      </c>
      <c r="L125" s="10">
        <f>IFERROR((L97-L111)/L111,"")</f>
        <v/>
      </c>
      <c r="M125" s="10">
        <f>IFERROR((M97-M111)/M111,"")</f>
        <v/>
      </c>
    </row>
    <row r="126">
      <c r="A126" s="7" t="inlineStr">
        <is>
          <t>2025-12</t>
        </is>
      </c>
      <c r="B126" s="10">
        <f>IFERROR((B98-B112)/B112,"")</f>
        <v/>
      </c>
      <c r="C126" s="10">
        <f>IFERROR((C98-C112)/C112,"")</f>
        <v/>
      </c>
      <c r="D126" s="10">
        <f>IFERROR((D98-D112)/D112,"")</f>
        <v/>
      </c>
      <c r="E126" s="10">
        <f>IFERROR((E98-E112)/E112,"")</f>
        <v/>
      </c>
      <c r="F126" s="10">
        <f>IFERROR((F98-F112)/F112,"")</f>
        <v/>
      </c>
      <c r="G126" s="10">
        <f>IFERROR((G98-G112)/G112,"")</f>
        <v/>
      </c>
      <c r="H126" s="10">
        <f>IFERROR((H98-H112)/H112,"")</f>
        <v/>
      </c>
      <c r="I126" s="10">
        <f>IFERROR((I98-I112)/I112,"")</f>
        <v/>
      </c>
      <c r="J126" s="10">
        <f>IFERROR((J98-J112)/J112,"")</f>
        <v/>
      </c>
      <c r="K126" s="10">
        <f>IFERROR((K98-K112)/K112,"")</f>
        <v/>
      </c>
      <c r="L126" s="10">
        <f>IFERROR((L98-L112)/L112,"")</f>
        <v/>
      </c>
      <c r="M126" s="10">
        <f>IFERROR((M98-M112)/M112,"")</f>
        <v/>
      </c>
    </row>
    <row r="127">
      <c r="A127" s="7" t="inlineStr">
        <is>
          <t>2026-01</t>
        </is>
      </c>
      <c r="B127" s="10">
        <f>IFERROR((B99-B113)/B113,"")</f>
        <v/>
      </c>
      <c r="C127" s="10">
        <f>IFERROR((C99-C113)/C113,"")</f>
        <v/>
      </c>
      <c r="D127" s="10">
        <f>IFERROR((D99-D113)/D113,"")</f>
        <v/>
      </c>
      <c r="E127" s="10">
        <f>IFERROR((E99-E113)/E113,"")</f>
        <v/>
      </c>
      <c r="F127" s="10">
        <f>IFERROR((F99-F113)/F113,"")</f>
        <v/>
      </c>
      <c r="G127" s="10">
        <f>IFERROR((G99-G113)/G113,"")</f>
        <v/>
      </c>
      <c r="H127" s="10">
        <f>IFERROR((H99-H113)/H113,"")</f>
        <v/>
      </c>
      <c r="I127" s="10">
        <f>IFERROR((I99-I113)/I113,"")</f>
        <v/>
      </c>
      <c r="J127" s="10">
        <f>IFERROR((J99-J113)/J113,"")</f>
        <v/>
      </c>
      <c r="K127" s="10">
        <f>IFERROR((K99-K113)/K113,"")</f>
        <v/>
      </c>
      <c r="L127" s="10">
        <f>IFERROR((L99-L113)/L113,"")</f>
        <v/>
      </c>
      <c r="M127" s="10">
        <f>IFERROR((M99-M113)/M113,"")</f>
        <v/>
      </c>
    </row>
    <row r="128">
      <c r="A128" s="7" t="inlineStr">
        <is>
          <t>2026-02</t>
        </is>
      </c>
      <c r="B128" s="10">
        <f>IFERROR((B100-B114)/B114,"")</f>
        <v/>
      </c>
      <c r="C128" s="10">
        <f>IFERROR((C100-C114)/C114,"")</f>
        <v/>
      </c>
      <c r="D128" s="10">
        <f>IFERROR((D100-D114)/D114,"")</f>
        <v/>
      </c>
      <c r="E128" s="10">
        <f>IFERROR((E100-E114)/E114,"")</f>
        <v/>
      </c>
      <c r="F128" s="10">
        <f>IFERROR((F100-F114)/F114,"")</f>
        <v/>
      </c>
      <c r="G128" s="10">
        <f>IFERROR((G100-G114)/G114,"")</f>
        <v/>
      </c>
      <c r="H128" s="10">
        <f>IFERROR((H100-H114)/H114,"")</f>
        <v/>
      </c>
      <c r="I128" s="10">
        <f>IFERROR((I100-I114)/I114,"")</f>
        <v/>
      </c>
      <c r="J128" s="10">
        <f>IFERROR((J100-J114)/J114,"")</f>
        <v/>
      </c>
      <c r="K128" s="10">
        <f>IFERROR((K100-K114)/K114,"")</f>
        <v/>
      </c>
      <c r="L128" s="10">
        <f>IFERROR((L100-L114)/L114,"")</f>
        <v/>
      </c>
      <c r="M128" s="10">
        <f>IFERROR((M100-M114)/M114,"")</f>
        <v/>
      </c>
    </row>
    <row r="129">
      <c r="A129" s="7" t="inlineStr">
        <is>
          <t>2026-03</t>
        </is>
      </c>
      <c r="B129" s="10">
        <f>IFERROR((B101-B115)/B115,"")</f>
        <v/>
      </c>
      <c r="C129" s="10">
        <f>IFERROR((C101-C115)/C115,"")</f>
        <v/>
      </c>
      <c r="D129" s="10">
        <f>IFERROR((D101-D115)/D115,"")</f>
        <v/>
      </c>
      <c r="E129" s="10">
        <f>IFERROR((E101-E115)/E115,"")</f>
        <v/>
      </c>
      <c r="F129" s="10">
        <f>IFERROR((F101-F115)/F115,"")</f>
        <v/>
      </c>
      <c r="G129" s="10">
        <f>IFERROR((G101-G115)/G115,"")</f>
        <v/>
      </c>
      <c r="H129" s="10">
        <f>IFERROR((H101-H115)/H115,"")</f>
        <v/>
      </c>
      <c r="I129" s="10">
        <f>IFERROR((I101-I115)/I115,"")</f>
        <v/>
      </c>
      <c r="J129" s="10">
        <f>IFERROR((J101-J115)/J115,"")</f>
        <v/>
      </c>
      <c r="K129" s="10">
        <f>IFERROR((K101-K115)/K115,"")</f>
        <v/>
      </c>
      <c r="L129" s="10">
        <f>IFERROR((L101-L115)/L115,"")</f>
        <v/>
      </c>
      <c r="M129" s="10">
        <f>IFERROR((M101-M115)/M115,"")</f>
        <v/>
      </c>
    </row>
    <row r="130">
      <c r="A130" s="7" t="inlineStr">
        <is>
          <t>2026-04</t>
        </is>
      </c>
      <c r="B130" s="10">
        <f>IFERROR((B102-B116)/B116,"")</f>
        <v/>
      </c>
      <c r="C130" s="10">
        <f>IFERROR((C102-C116)/C116,"")</f>
        <v/>
      </c>
      <c r="D130" s="10">
        <f>IFERROR((D102-D116)/D116,"")</f>
        <v/>
      </c>
      <c r="E130" s="10">
        <f>IFERROR((E102-E116)/E116,"")</f>
        <v/>
      </c>
      <c r="F130" s="10">
        <f>IFERROR((F102-F116)/F116,"")</f>
        <v/>
      </c>
      <c r="G130" s="10">
        <f>IFERROR((G102-G116)/G116,"")</f>
        <v/>
      </c>
      <c r="H130" s="10">
        <f>IFERROR((H102-H116)/H116,"")</f>
        <v/>
      </c>
      <c r="I130" s="10">
        <f>IFERROR((I102-I116)/I116,"")</f>
        <v/>
      </c>
      <c r="J130" s="10">
        <f>IFERROR((J102-J116)/J116,"")</f>
        <v/>
      </c>
      <c r="K130" s="10">
        <f>IFERROR((K102-K116)/K116,"")</f>
        <v/>
      </c>
      <c r="L130" s="10">
        <f>IFERROR((L102-L116)/L116,"")</f>
        <v/>
      </c>
      <c r="M130" s="10">
        <f>IFERROR((M102-M116)/M116,"")</f>
        <v/>
      </c>
    </row>
    <row r="131">
      <c r="A131" s="7" t="inlineStr">
        <is>
          <t>2026-05</t>
        </is>
      </c>
      <c r="B131" s="10">
        <f>IFERROR((B103-B117)/B117,"")</f>
        <v/>
      </c>
      <c r="C131" s="10">
        <f>IFERROR((C103-C117)/C117,"")</f>
        <v/>
      </c>
      <c r="D131" s="10">
        <f>IFERROR((D103-D117)/D117,"")</f>
        <v/>
      </c>
      <c r="E131" s="10">
        <f>IFERROR((E103-E117)/E117,"")</f>
        <v/>
      </c>
      <c r="F131" s="10">
        <f>IFERROR((F103-F117)/F117,"")</f>
        <v/>
      </c>
      <c r="G131" s="10">
        <f>IFERROR((G103-G117)/G117,"")</f>
        <v/>
      </c>
      <c r="H131" s="10">
        <f>IFERROR((H103-H117)/H117,"")</f>
        <v/>
      </c>
      <c r="I131" s="10">
        <f>IFERROR((I103-I117)/I117,"")</f>
        <v/>
      </c>
      <c r="J131" s="10">
        <f>IFERROR((J103-J117)/J117,"")</f>
        <v/>
      </c>
      <c r="K131" s="10">
        <f>IFERROR((K103-K117)/K117,"")</f>
        <v/>
      </c>
      <c r="L131" s="10">
        <f>IFERROR((L103-L117)/L117,"")</f>
        <v/>
      </c>
      <c r="M131" s="10">
        <f>IFERROR((M103-M117)/M117,"")</f>
        <v/>
      </c>
    </row>
    <row r="132">
      <c r="A132" s="7" t="inlineStr">
        <is>
          <t>2026-06</t>
        </is>
      </c>
      <c r="B132" s="10">
        <f>IFERROR((B104-B118)/B118,"")</f>
        <v/>
      </c>
      <c r="C132" s="10">
        <f>IFERROR((C104-C118)/C118,"")</f>
        <v/>
      </c>
      <c r="D132" s="10">
        <f>IFERROR((D104-D118)/D118,"")</f>
        <v/>
      </c>
      <c r="E132" s="10">
        <f>IFERROR((E104-E118)/E118,"")</f>
        <v/>
      </c>
      <c r="F132" s="10">
        <f>IFERROR((F104-F118)/F118,"")</f>
        <v/>
      </c>
      <c r="G132" s="10">
        <f>IFERROR((G104-G118)/G118,"")</f>
        <v/>
      </c>
      <c r="H132" s="10">
        <f>IFERROR((H104-H118)/H118,"")</f>
        <v/>
      </c>
      <c r="I132" s="10">
        <f>IFERROR((I104-I118)/I118,"")</f>
        <v/>
      </c>
      <c r="J132" s="10">
        <f>IFERROR((J104-J118)/J118,"")</f>
        <v/>
      </c>
      <c r="K132" s="10">
        <f>IFERROR((K104-K118)/K118,"")</f>
        <v/>
      </c>
      <c r="L132" s="10">
        <f>IFERROR((L104-L118)/L118,"")</f>
        <v/>
      </c>
      <c r="M132" s="10">
        <f>IFERROR((M104-M118)/M118,"")</f>
        <v/>
      </c>
    </row>
    <row r="133">
      <c r="A133" s="7" t="inlineStr">
        <is>
          <t>2026-07</t>
        </is>
      </c>
      <c r="B133" s="10">
        <f>IFERROR((B105-B119)/B119,"")</f>
        <v/>
      </c>
      <c r="C133" s="10">
        <f>IFERROR((C105-C119)/C119,"")</f>
        <v/>
      </c>
      <c r="D133" s="10">
        <f>IFERROR((D105-D119)/D119,"")</f>
        <v/>
      </c>
      <c r="E133" s="10">
        <f>IFERROR((E105-E119)/E119,"")</f>
        <v/>
      </c>
      <c r="F133" s="10">
        <f>IFERROR((F105-F119)/F119,"")</f>
        <v/>
      </c>
      <c r="G133" s="10">
        <f>IFERROR((G105-G119)/G119,"")</f>
        <v/>
      </c>
      <c r="H133" s="10">
        <f>IFERROR((H105-H119)/H119,"")</f>
        <v/>
      </c>
      <c r="I133" s="10">
        <f>IFERROR((I105-I119)/I119,"")</f>
        <v/>
      </c>
      <c r="J133" s="10">
        <f>IFERROR((J105-J119)/J119,"")</f>
        <v/>
      </c>
      <c r="K133" s="10">
        <f>IFERROR((K105-K119)/K119,"")</f>
        <v/>
      </c>
      <c r="L133" s="10">
        <f>IFERROR((L105-L119)/L119,"")</f>
        <v/>
      </c>
      <c r="M133" s="10">
        <f>IFERROR((M105-M119)/M119,"")</f>
        <v/>
      </c>
    </row>
  </sheetData>
  <conditionalFormatting sqref="B35:M45">
    <cfRule type="expression" priority="1" dxfId="0" stopIfTrue="1">
      <formula>AND(ISNUMBER(B35),ABS(B35)&gt;0.05)</formula>
    </cfRule>
    <cfRule type="expression" priority="2" dxfId="1" stopIfTrue="1">
      <formula>AND(ISNUMBER(B35),ABS(B35)&gt;0.02)</formula>
    </cfRule>
    <cfRule type="expression" priority="3" dxfId="2">
      <formula>ISNUMBER(B35)</formula>
    </cfRule>
  </conditionalFormatting>
  <conditionalFormatting sqref="B79:M89">
    <cfRule type="expression" priority="4" dxfId="0" stopIfTrue="1">
      <formula>AND(ISNUMBER(B79),ABS(B79)&gt;0.05)</formula>
    </cfRule>
    <cfRule type="expression" priority="5" dxfId="1" stopIfTrue="1">
      <formula>AND(ISNUMBER(B79),ABS(B79)&gt;0.02)</formula>
    </cfRule>
    <cfRule type="expression" priority="6" dxfId="2">
      <formula>ISNUMBER(B79)</formula>
    </cfRule>
  </conditionalFormatting>
  <conditionalFormatting sqref="B123:M133">
    <cfRule type="expression" priority="7" dxfId="0" stopIfTrue="1">
      <formula>AND(ISNUMBER(B123),ABS(B123)&gt;0.05)</formula>
    </cfRule>
    <cfRule type="expression" priority="8" dxfId="1" stopIfTrue="1">
      <formula>AND(ISNUMBER(B123),ABS(B123)&gt;0.02)</formula>
    </cfRule>
    <cfRule type="expression" priority="9" dxfId="2">
      <formula>ISNUMBER(B123)</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0" customWidth="1" min="1" max="1"/>
  </cols>
  <sheetData>
    <row r="1">
      <c r="A1" s="11" t="inlineStr">
        <is>
          <t>Notes</t>
        </is>
      </c>
    </row>
    <row r="2">
      <c r="A2" s="12" t="inlineStr">
        <is>
          <t>Cumulative LTR PER CUSTOMER. Dollars = this value x the Customers column.</t>
        </is>
      </c>
    </row>
    <row r="3">
      <c r="A3" s="12" t="inlineStr">
        <is>
          <t>% Diff = (ours - client) / client. NOTE: this is the OPPOSITE SIGN to earlier versions of this sheet, which used (client - ours). It now matches the RCA document. A negative % means we are BELOW the client.</t>
        </is>
      </c>
    </row>
    <row r="4">
      <c r="A4" s="12" t="inlineStr">
        <is>
          <t>Colour scale is on the ABSOLUTE difference: GREEN within 2%, AMBER 2-5%, RED beyond 5%.</t>
        </is>
      </c>
    </row>
    <row r="5">
      <c r="A5" s="12" t="inlineStr">
        <is>
          <t>% Diff cells are live formulas and calculate when opened in Excel.</t>
        </is>
      </c>
    </row>
    <row r="6">
      <c r="A6" s="12" t="inlineStr"/>
    </row>
    <row r="7">
      <c r="A7" s="12" t="inlineStr">
        <is>
          <t>SOURCES - both tabs come from LineItemMaster, so only the logic differs between them.</t>
        </is>
      </c>
    </row>
    <row r="8">
      <c r="A8" s="12" t="inlineStr">
        <is>
          <t xml:space="preserve">  Before tab: sql/10_before_logic_lim.sql - acquisition bucket for life, no Faire.</t>
        </is>
      </c>
    </row>
    <row r="9">
      <c r="A9" s="12" t="inlineStr">
        <is>
          <t xml:space="preserve">  After tab:  sql/09_production_lim.sql   - attribution fixed, Faire included.</t>
        </is>
      </c>
    </row>
    <row r="10">
      <c r="A10" s="12" t="inlineStr">
        <is>
          <t xml:space="preserve">  Both were validated against the earlier OrderLinesMaster + ReturnLinesMaster build, which they reproduce to within 0.08% across all 11 cohorts and both buckets. LineItemMaster is simply those two tables combined, so this is a change of source, not of method.</t>
        </is>
      </c>
    </row>
    <row r="11">
      <c r="A11" s="12" t="inlineStr">
        <is>
          <t xml:space="preserve">  Cross-check that holds in the data: the two tabs have IDENTICAL customer counts before 2026-02, and from 2026-02 the After tab is higher by exactly the Faire retailers - +17 Feb, +33 Mar, +25 Apr, +37 May, +33 Jun, +46 Jul. Subscription M0 is identical on both tabs in every cohort, because every Faire order is OTP.</t>
        </is>
      </c>
    </row>
    <row r="12">
      <c r="A12" s="12" t="inlineStr"/>
    </row>
    <row r="13">
      <c r="A13" s="13" t="inlineStr">
        <is>
          <t>METHOD</t>
        </is>
      </c>
    </row>
    <row r="14">
      <c r="A14" s="12" t="inlineStr">
        <is>
          <t>LTR = gross sales - item discounts + shipping - shipping tax, net of returns. Shopify only; test orders and gift cards excluded; founding-order revenue bucket "TT New" (TikTok) excluded.</t>
        </is>
      </c>
    </row>
    <row r="15">
      <c r="A15" s="12" t="inlineStr">
        <is>
          <t>The $0 founding-order rule removes a 2026-07-09 free-product promotion (936 customers in July).</t>
        </is>
      </c>
    </row>
    <row r="16">
      <c r="A16" s="12" t="inlineStr">
        <is>
          <t>The Customers column differs between tabs: the After tab adds Faire retailers, who are excluded from the presentation layer by a channel filter and so appear in neither table.</t>
        </is>
      </c>
    </row>
    <row r="17">
      <c r="A17" s="12" t="inlineStr">
        <is>
          <t>October 2026 is a partial month and is excluded, so the last month shown varies by cohort.</t>
        </is>
      </c>
    </row>
    <row r="18">
      <c r="A18" s="12" t="inlineStr">
        <is>
          <t>Client rows are from Cohorts_Dashboard_Complete_Validation_Sheet "Month View", identical on both tabs.</t>
        </is>
      </c>
    </row>
    <row r="19">
      <c r="A19" s="12" t="inlineStr"/>
    </row>
    <row r="20">
      <c r="A20" s="13" t="inlineStr">
        <is>
          <t>RESULT</t>
        </is>
      </c>
    </row>
    <row r="21">
      <c r="A21" s="12" t="inlineStr">
        <is>
          <t>Before: 102 of 198 cells are more than 5% out, worst 51.1%, mean 9.7%.</t>
        </is>
      </c>
    </row>
    <row r="22">
      <c r="A22" s="12" t="inlineStr">
        <is>
          <t>After: NO cell above 5%, worst 3.6%, mean 0.94% across all 198 cells (1.11% if measured only at each cohort-s latest month, which is the figure quoted in the RCA document).</t>
        </is>
      </c>
    </row>
    <row r="23">
      <c r="A23" s="12" t="inlineStr">
        <is>
          <t>The attribution rule was chosen by scoring four variants across all eleven cohorts, not on March alone.</t>
        </is>
      </c>
    </row>
    <row r="24">
      <c r="A24" s="12" t="inlineStr"/>
    </row>
    <row r="25">
      <c r="A25" s="13" t="inlineStr">
        <is>
          <t>OPEN</t>
        </is>
      </c>
    </row>
    <row r="26">
      <c r="A26" s="12" t="inlineStr">
        <is>
          <t>Roughly 115 customers across the non-July cohorts are classified OTP by us and Subscription by the client. 0.10% of base. No exclusion rule can fix a classification difference.</t>
        </is>
      </c>
    </row>
    <row r="27">
      <c r="A27" s="12" t="inlineStr">
        <is>
          <t>465 of the 936 July customers removed have a second order. Believed to be a second $0 promotional item rather than a real purchase. Unconfirmed.</t>
        </is>
      </c>
    </row>
    <row r="28">
      <c r="A28" s="12" t="inlineStr">
        <is>
          <t>LineItemMaster currently adds refunded shipping on return rows instead of subtracting it - an upstream sign error raised with the DE team. The After tab is built with that shipping ignored, which matches the OrderLinesMaster build. When the fix lands, expect March M4 to move about -425 (OTP) and -1,046 (Subscription).</t>
        </is>
      </c>
    </row>
    <row r="29">
      <c r="A29" s="12" t="inlineStr">
        <is>
          <t>Nobody has confirmed which model the live dashboard reads, and the published figures these were originally checked against came from our own brief, not a dashboard 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2026-10-05T13:37:41Z</dcterms:created>
  <dcterms:modified xsi:type="dcterms:W3CDTF">2026-10-05T13:37:41Z</dcterms:modified>
</cp:coreProperties>
</file>